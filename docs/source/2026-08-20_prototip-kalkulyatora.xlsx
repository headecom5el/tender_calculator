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mitriy.Morozov\Desktop\"/>
    </mc:Choice>
  </mc:AlternateContent>
  <bookViews>
    <workbookView xWindow="0" yWindow="0" windowWidth="21600" windowHeight="9165" firstSheet="1" activeTab="7"/>
  </bookViews>
  <sheets>
    <sheet name="01_Поставщики" sheetId="1" r:id="rId1"/>
    <sheet name="02_Схемы оплаты" sheetId="2" r:id="rId2"/>
    <sheet name="03_Настройки" sheetId="3" r:id="rId3"/>
    <sheet name="04_Потребность" sheetId="4" r:id="rId4"/>
    <sheet name="05_Офферы" sheetId="5" r:id="rId5"/>
    <sheet name="00_Панель" sheetId="6" r:id="rId6"/>
    <sheet name="06_Методика" sheetId="7" r:id="rId7"/>
    <sheet name="07_Проверка" sheetId="8" r:id="rId8"/>
    <sheet name="08_Источники" sheetId="9" r:id="rId9"/>
    <sheet name="09_Маппинг формы" sheetId="10" r:id="rId10"/>
  </sheets>
  <calcPr calcId="162913"/>
</workbook>
</file>

<file path=xl/calcChain.xml><?xml version="1.0" encoding="utf-8"?>
<calcChain xmlns="http://schemas.openxmlformats.org/spreadsheetml/2006/main">
  <c r="G13" i="6" l="1"/>
  <c r="H13" i="6" s="1"/>
  <c r="G12" i="6"/>
  <c r="H12" i="6" s="1"/>
  <c r="G11" i="6"/>
  <c r="H11" i="6" s="1"/>
  <c r="B6" i="6"/>
  <c r="B8" i="6" s="1"/>
  <c r="BZ203" i="5"/>
  <c r="BX203" i="5"/>
  <c r="BO203" i="5"/>
  <c r="BN203" i="5"/>
  <c r="BF203" i="5"/>
  <c r="BE203" i="5"/>
  <c r="AV203" i="5"/>
  <c r="AW203" i="5" s="1"/>
  <c r="AU203" i="5"/>
  <c r="AT203" i="5"/>
  <c r="AL203" i="5"/>
  <c r="AK203" i="5"/>
  <c r="AJ203" i="5"/>
  <c r="AI203" i="5"/>
  <c r="AH203" i="5"/>
  <c r="AM203" i="5" s="1"/>
  <c r="BA203" i="5" s="1"/>
  <c r="M203" i="5"/>
  <c r="L203" i="5"/>
  <c r="K203" i="5"/>
  <c r="J203" i="5"/>
  <c r="H203" i="5"/>
  <c r="BZ202" i="5"/>
  <c r="BX202" i="5"/>
  <c r="BO202" i="5"/>
  <c r="BN202" i="5"/>
  <c r="BF202" i="5"/>
  <c r="BE202" i="5"/>
  <c r="BA202" i="5"/>
  <c r="AM202" i="5"/>
  <c r="AL202" i="5"/>
  <c r="AV202" i="5" s="1"/>
  <c r="AW202" i="5" s="1"/>
  <c r="AK202" i="5"/>
  <c r="AJ202" i="5"/>
  <c r="AI202" i="5"/>
  <c r="AU202" i="5" s="1"/>
  <c r="AH202" i="5"/>
  <c r="M202" i="5"/>
  <c r="AT202" i="5" s="1"/>
  <c r="L202" i="5"/>
  <c r="K202" i="5"/>
  <c r="J202" i="5"/>
  <c r="H202" i="5"/>
  <c r="BZ201" i="5"/>
  <c r="BX201" i="5"/>
  <c r="BO201" i="5"/>
  <c r="BN201" i="5"/>
  <c r="BF201" i="5"/>
  <c r="BE201" i="5"/>
  <c r="AL201" i="5"/>
  <c r="AV201" i="5" s="1"/>
  <c r="AW201" i="5" s="1"/>
  <c r="AK201" i="5"/>
  <c r="AJ201" i="5"/>
  <c r="AI201" i="5"/>
  <c r="AU201" i="5" s="1"/>
  <c r="AH201" i="5"/>
  <c r="AM201" i="5" s="1"/>
  <c r="BA201" i="5" s="1"/>
  <c r="M201" i="5"/>
  <c r="AT201" i="5" s="1"/>
  <c r="L201" i="5"/>
  <c r="K201" i="5"/>
  <c r="J201" i="5"/>
  <c r="H201" i="5"/>
  <c r="BZ200" i="5"/>
  <c r="BX200" i="5"/>
  <c r="BO200" i="5"/>
  <c r="BN200" i="5"/>
  <c r="BF200" i="5"/>
  <c r="BE200" i="5"/>
  <c r="AU200" i="5"/>
  <c r="AT200" i="5"/>
  <c r="AL200" i="5"/>
  <c r="AV200" i="5" s="1"/>
  <c r="AW200" i="5" s="1"/>
  <c r="AK200" i="5"/>
  <c r="AJ200" i="5"/>
  <c r="AI200" i="5"/>
  <c r="AH200" i="5"/>
  <c r="AM200" i="5" s="1"/>
  <c r="BA200" i="5" s="1"/>
  <c r="M200" i="5"/>
  <c r="L200" i="5"/>
  <c r="K200" i="5"/>
  <c r="J200" i="5"/>
  <c r="H200" i="5"/>
  <c r="BZ199" i="5"/>
  <c r="BX199" i="5"/>
  <c r="BO199" i="5"/>
  <c r="BN199" i="5"/>
  <c r="BF199" i="5"/>
  <c r="BE199" i="5"/>
  <c r="AL199" i="5"/>
  <c r="AV199" i="5" s="1"/>
  <c r="AW199" i="5" s="1"/>
  <c r="AK199" i="5"/>
  <c r="AJ199" i="5"/>
  <c r="AI199" i="5"/>
  <c r="AU199" i="5" s="1"/>
  <c r="AH199" i="5"/>
  <c r="AM199" i="5" s="1"/>
  <c r="BA199" i="5" s="1"/>
  <c r="M199" i="5"/>
  <c r="AT199" i="5" s="1"/>
  <c r="L199" i="5"/>
  <c r="K199" i="5"/>
  <c r="J199" i="5"/>
  <c r="H199" i="5"/>
  <c r="BZ198" i="5"/>
  <c r="BX198" i="5"/>
  <c r="BO198" i="5"/>
  <c r="BN198" i="5"/>
  <c r="BF198" i="5"/>
  <c r="BE198" i="5"/>
  <c r="AV198" i="5"/>
  <c r="AU198" i="5"/>
  <c r="AM198" i="5"/>
  <c r="BA198" i="5" s="1"/>
  <c r="AL198" i="5"/>
  <c r="AK198" i="5"/>
  <c r="AW198" i="5" s="1"/>
  <c r="AJ198" i="5"/>
  <c r="AI198" i="5"/>
  <c r="AH198" i="5"/>
  <c r="M198" i="5"/>
  <c r="AT198" i="5" s="1"/>
  <c r="L198" i="5"/>
  <c r="K198" i="5"/>
  <c r="J198" i="5"/>
  <c r="H198" i="5"/>
  <c r="BZ197" i="5"/>
  <c r="BX197" i="5"/>
  <c r="BO197" i="5"/>
  <c r="BN197" i="5"/>
  <c r="BF197" i="5"/>
  <c r="BE197" i="5"/>
  <c r="AV197" i="5"/>
  <c r="AW197" i="5" s="1"/>
  <c r="AU197" i="5"/>
  <c r="AL197" i="5"/>
  <c r="AK197" i="5"/>
  <c r="AJ197" i="5"/>
  <c r="AI197" i="5"/>
  <c r="AH197" i="5"/>
  <c r="AM197" i="5" s="1"/>
  <c r="BA197" i="5" s="1"/>
  <c r="M197" i="5"/>
  <c r="AT197" i="5" s="1"/>
  <c r="L197" i="5"/>
  <c r="K197" i="5"/>
  <c r="J197" i="5"/>
  <c r="H197" i="5"/>
  <c r="BZ196" i="5"/>
  <c r="BX196" i="5"/>
  <c r="BO196" i="5"/>
  <c r="BN196" i="5"/>
  <c r="BF196" i="5"/>
  <c r="BE196" i="5"/>
  <c r="AL196" i="5"/>
  <c r="AV196" i="5" s="1"/>
  <c r="AW196" i="5" s="1"/>
  <c r="AK196" i="5"/>
  <c r="AJ196" i="5"/>
  <c r="AI196" i="5"/>
  <c r="AU196" i="5" s="1"/>
  <c r="AH196" i="5"/>
  <c r="M196" i="5"/>
  <c r="AT196" i="5" s="1"/>
  <c r="L196" i="5"/>
  <c r="K196" i="5"/>
  <c r="J196" i="5"/>
  <c r="H196" i="5"/>
  <c r="BZ195" i="5"/>
  <c r="BX195" i="5"/>
  <c r="BO195" i="5"/>
  <c r="BN195" i="5"/>
  <c r="BF195" i="5"/>
  <c r="BE195" i="5"/>
  <c r="AU195" i="5"/>
  <c r="AM195" i="5"/>
  <c r="BA195" i="5" s="1"/>
  <c r="AL195" i="5"/>
  <c r="AV195" i="5" s="1"/>
  <c r="AW195" i="5" s="1"/>
  <c r="AK195" i="5"/>
  <c r="AJ195" i="5"/>
  <c r="AI195" i="5"/>
  <c r="AH195" i="5"/>
  <c r="M195" i="5"/>
  <c r="AT195" i="5" s="1"/>
  <c r="L195" i="5"/>
  <c r="K195" i="5"/>
  <c r="J195" i="5"/>
  <c r="H195" i="5"/>
  <c r="BZ194" i="5"/>
  <c r="BX194" i="5"/>
  <c r="BO194" i="5"/>
  <c r="BN194" i="5"/>
  <c r="BF194" i="5"/>
  <c r="BE194" i="5"/>
  <c r="BA194" i="5"/>
  <c r="AW194" i="5"/>
  <c r="AV194" i="5"/>
  <c r="AU194" i="5"/>
  <c r="AM194" i="5"/>
  <c r="AL194" i="5"/>
  <c r="AK194" i="5"/>
  <c r="AJ194" i="5"/>
  <c r="AI194" i="5"/>
  <c r="AH194" i="5"/>
  <c r="M194" i="5"/>
  <c r="AT194" i="5" s="1"/>
  <c r="L194" i="5"/>
  <c r="K194" i="5"/>
  <c r="J194" i="5"/>
  <c r="H194" i="5"/>
  <c r="BZ193" i="5"/>
  <c r="BX193" i="5"/>
  <c r="BO193" i="5"/>
  <c r="BN193" i="5"/>
  <c r="BF193" i="5"/>
  <c r="BE193" i="5"/>
  <c r="AW193" i="5"/>
  <c r="AV193" i="5"/>
  <c r="AL193" i="5"/>
  <c r="AK193" i="5"/>
  <c r="AJ193" i="5"/>
  <c r="AI193" i="5"/>
  <c r="AU193" i="5" s="1"/>
  <c r="AH193" i="5"/>
  <c r="M193" i="5"/>
  <c r="AT193" i="5" s="1"/>
  <c r="L193" i="5"/>
  <c r="K193" i="5"/>
  <c r="J193" i="5"/>
  <c r="H193" i="5"/>
  <c r="BZ192" i="5"/>
  <c r="BX192" i="5"/>
  <c r="BO192" i="5"/>
  <c r="BN192" i="5"/>
  <c r="BF192" i="5"/>
  <c r="BE192" i="5"/>
  <c r="BA192" i="5"/>
  <c r="AU192" i="5"/>
  <c r="AM192" i="5"/>
  <c r="AL192" i="5"/>
  <c r="AV192" i="5" s="1"/>
  <c r="AK192" i="5"/>
  <c r="AJ192" i="5"/>
  <c r="AI192" i="5"/>
  <c r="AH192" i="5"/>
  <c r="M192" i="5"/>
  <c r="AT192" i="5" s="1"/>
  <c r="L192" i="5"/>
  <c r="K192" i="5"/>
  <c r="J192" i="5"/>
  <c r="H192" i="5"/>
  <c r="BZ191" i="5"/>
  <c r="BX191" i="5"/>
  <c r="BO191" i="5"/>
  <c r="BN191" i="5"/>
  <c r="BF191" i="5"/>
  <c r="BE191" i="5"/>
  <c r="AV191" i="5"/>
  <c r="AW191" i="5" s="1"/>
  <c r="AU191" i="5"/>
  <c r="AL191" i="5"/>
  <c r="AK191" i="5"/>
  <c r="AJ191" i="5"/>
  <c r="AI191" i="5"/>
  <c r="AH191" i="5"/>
  <c r="AM191" i="5" s="1"/>
  <c r="BA191" i="5" s="1"/>
  <c r="M191" i="5"/>
  <c r="AT191" i="5" s="1"/>
  <c r="L191" i="5"/>
  <c r="K191" i="5"/>
  <c r="J191" i="5"/>
  <c r="H191" i="5"/>
  <c r="BZ190" i="5"/>
  <c r="BX190" i="5"/>
  <c r="BO190" i="5"/>
  <c r="BN190" i="5"/>
  <c r="BF190" i="5"/>
  <c r="BE190" i="5"/>
  <c r="BA190" i="5"/>
  <c r="AW190" i="5"/>
  <c r="AV190" i="5"/>
  <c r="AU190" i="5"/>
  <c r="AM190" i="5"/>
  <c r="AL190" i="5"/>
  <c r="AK190" i="5"/>
  <c r="AJ190" i="5"/>
  <c r="AI190" i="5"/>
  <c r="AH190" i="5"/>
  <c r="M190" i="5"/>
  <c r="AT190" i="5" s="1"/>
  <c r="L190" i="5"/>
  <c r="K190" i="5"/>
  <c r="J190" i="5"/>
  <c r="H190" i="5"/>
  <c r="BZ189" i="5"/>
  <c r="BX189" i="5"/>
  <c r="BO189" i="5"/>
  <c r="BN189" i="5"/>
  <c r="BF189" i="5"/>
  <c r="BE189" i="5"/>
  <c r="AL189" i="5"/>
  <c r="AV189" i="5" s="1"/>
  <c r="AK189" i="5"/>
  <c r="AJ189" i="5"/>
  <c r="AI189" i="5"/>
  <c r="AU189" i="5" s="1"/>
  <c r="AH189" i="5"/>
  <c r="AM189" i="5" s="1"/>
  <c r="BA189" i="5" s="1"/>
  <c r="M189" i="5"/>
  <c r="AT189" i="5" s="1"/>
  <c r="L189" i="5"/>
  <c r="K189" i="5"/>
  <c r="J189" i="5"/>
  <c r="H189" i="5"/>
  <c r="BZ188" i="5"/>
  <c r="BX188" i="5"/>
  <c r="BO188" i="5"/>
  <c r="BN188" i="5"/>
  <c r="BF188" i="5"/>
  <c r="BE188" i="5"/>
  <c r="AU188" i="5"/>
  <c r="AM188" i="5"/>
  <c r="BA188" i="5" s="1"/>
  <c r="AL188" i="5"/>
  <c r="AV188" i="5" s="1"/>
  <c r="AW188" i="5" s="1"/>
  <c r="AK188" i="5"/>
  <c r="AJ188" i="5"/>
  <c r="AI188" i="5"/>
  <c r="AH188" i="5"/>
  <c r="M188" i="5"/>
  <c r="AT188" i="5" s="1"/>
  <c r="L188" i="5"/>
  <c r="K188" i="5"/>
  <c r="J188" i="5"/>
  <c r="H188" i="5"/>
  <c r="BZ187" i="5"/>
  <c r="BX187" i="5"/>
  <c r="BO187" i="5"/>
  <c r="BN187" i="5"/>
  <c r="BF187" i="5"/>
  <c r="BE187" i="5"/>
  <c r="AV187" i="5"/>
  <c r="AW187" i="5" s="1"/>
  <c r="AU187" i="5"/>
  <c r="AL187" i="5"/>
  <c r="AK187" i="5"/>
  <c r="AJ187" i="5"/>
  <c r="AI187" i="5"/>
  <c r="AH187" i="5"/>
  <c r="AM187" i="5" s="1"/>
  <c r="BA187" i="5" s="1"/>
  <c r="M187" i="5"/>
  <c r="AT187" i="5" s="1"/>
  <c r="L187" i="5"/>
  <c r="K187" i="5"/>
  <c r="J187" i="5"/>
  <c r="H187" i="5"/>
  <c r="BZ186" i="5"/>
  <c r="BX186" i="5"/>
  <c r="BO186" i="5"/>
  <c r="BN186" i="5"/>
  <c r="BF186" i="5"/>
  <c r="BE186" i="5"/>
  <c r="BA186" i="5"/>
  <c r="AV186" i="5"/>
  <c r="AM186" i="5"/>
  <c r="AL186" i="5"/>
  <c r="AK186" i="5"/>
  <c r="AW186" i="5" s="1"/>
  <c r="AJ186" i="5"/>
  <c r="AI186" i="5"/>
  <c r="AU186" i="5" s="1"/>
  <c r="AH186" i="5"/>
  <c r="M186" i="5"/>
  <c r="AT186" i="5" s="1"/>
  <c r="L186" i="5"/>
  <c r="K186" i="5"/>
  <c r="J186" i="5"/>
  <c r="H186" i="5"/>
  <c r="BZ185" i="5"/>
  <c r="BX185" i="5"/>
  <c r="BO185" i="5"/>
  <c r="BN185" i="5"/>
  <c r="BF185" i="5"/>
  <c r="BE185" i="5"/>
  <c r="AU185" i="5"/>
  <c r="AL185" i="5"/>
  <c r="AV185" i="5" s="1"/>
  <c r="AW185" i="5" s="1"/>
  <c r="AK185" i="5"/>
  <c r="AJ185" i="5"/>
  <c r="AI185" i="5"/>
  <c r="AH185" i="5"/>
  <c r="AM185" i="5" s="1"/>
  <c r="BA185" i="5" s="1"/>
  <c r="M185" i="5"/>
  <c r="AT185" i="5" s="1"/>
  <c r="L185" i="5"/>
  <c r="K185" i="5"/>
  <c r="J185" i="5"/>
  <c r="H185" i="5"/>
  <c r="BZ184" i="5"/>
  <c r="BX184" i="5"/>
  <c r="BO184" i="5"/>
  <c r="BN184" i="5"/>
  <c r="BF184" i="5"/>
  <c r="BE184" i="5"/>
  <c r="AU184" i="5"/>
  <c r="AL184" i="5"/>
  <c r="AV184" i="5" s="1"/>
  <c r="AW184" i="5" s="1"/>
  <c r="AK184" i="5"/>
  <c r="AJ184" i="5"/>
  <c r="AI184" i="5"/>
  <c r="AH184" i="5"/>
  <c r="AM184" i="5" s="1"/>
  <c r="BA184" i="5" s="1"/>
  <c r="M184" i="5"/>
  <c r="AT184" i="5" s="1"/>
  <c r="L184" i="5"/>
  <c r="K184" i="5"/>
  <c r="J184" i="5"/>
  <c r="H184" i="5"/>
  <c r="BZ183" i="5"/>
  <c r="BX183" i="5"/>
  <c r="BO183" i="5"/>
  <c r="BN183" i="5"/>
  <c r="BF183" i="5"/>
  <c r="BE183" i="5"/>
  <c r="AL183" i="5"/>
  <c r="AV183" i="5" s="1"/>
  <c r="AW183" i="5" s="1"/>
  <c r="AK183" i="5"/>
  <c r="AJ183" i="5"/>
  <c r="AI183" i="5"/>
  <c r="AU183" i="5" s="1"/>
  <c r="AH183" i="5"/>
  <c r="M183" i="5"/>
  <c r="AT183" i="5" s="1"/>
  <c r="L183" i="5"/>
  <c r="K183" i="5"/>
  <c r="J183" i="5"/>
  <c r="H183" i="5"/>
  <c r="BZ182" i="5"/>
  <c r="BX182" i="5"/>
  <c r="BO182" i="5"/>
  <c r="BN182" i="5"/>
  <c r="BF182" i="5"/>
  <c r="BE182" i="5"/>
  <c r="AW182" i="5"/>
  <c r="AV182" i="5"/>
  <c r="AU182" i="5"/>
  <c r="AM182" i="5"/>
  <c r="BA182" i="5" s="1"/>
  <c r="AL182" i="5"/>
  <c r="AK182" i="5"/>
  <c r="AJ182" i="5"/>
  <c r="AI182" i="5"/>
  <c r="AH182" i="5"/>
  <c r="M182" i="5"/>
  <c r="AT182" i="5" s="1"/>
  <c r="L182" i="5"/>
  <c r="K182" i="5"/>
  <c r="J182" i="5"/>
  <c r="H182" i="5"/>
  <c r="BZ181" i="5"/>
  <c r="BX181" i="5"/>
  <c r="BO181" i="5"/>
  <c r="BN181" i="5"/>
  <c r="BF181" i="5"/>
  <c r="BE181" i="5"/>
  <c r="AV181" i="5"/>
  <c r="AW181" i="5" s="1"/>
  <c r="AU181" i="5"/>
  <c r="AL181" i="5"/>
  <c r="AK181" i="5"/>
  <c r="AJ181" i="5"/>
  <c r="AI181" i="5"/>
  <c r="AH181" i="5"/>
  <c r="AM181" i="5" s="1"/>
  <c r="BA181" i="5" s="1"/>
  <c r="M181" i="5"/>
  <c r="AT181" i="5" s="1"/>
  <c r="L181" i="5"/>
  <c r="K181" i="5"/>
  <c r="J181" i="5"/>
  <c r="H181" i="5"/>
  <c r="BZ180" i="5"/>
  <c r="BX180" i="5"/>
  <c r="BO180" i="5"/>
  <c r="BN180" i="5"/>
  <c r="BF180" i="5"/>
  <c r="BE180" i="5"/>
  <c r="AL180" i="5"/>
  <c r="AV180" i="5" s="1"/>
  <c r="AW180" i="5" s="1"/>
  <c r="AK180" i="5"/>
  <c r="AJ180" i="5"/>
  <c r="AI180" i="5"/>
  <c r="AU180" i="5" s="1"/>
  <c r="AH180" i="5"/>
  <c r="M180" i="5"/>
  <c r="AT180" i="5" s="1"/>
  <c r="L180" i="5"/>
  <c r="K180" i="5"/>
  <c r="J180" i="5"/>
  <c r="H180" i="5"/>
  <c r="BZ179" i="5"/>
  <c r="BX179" i="5"/>
  <c r="BO179" i="5"/>
  <c r="BN179" i="5"/>
  <c r="BF179" i="5"/>
  <c r="BE179" i="5"/>
  <c r="AU179" i="5"/>
  <c r="AM179" i="5"/>
  <c r="BA179" i="5" s="1"/>
  <c r="AL179" i="5"/>
  <c r="AV179" i="5" s="1"/>
  <c r="AW179" i="5" s="1"/>
  <c r="AK179" i="5"/>
  <c r="AJ179" i="5"/>
  <c r="AI179" i="5"/>
  <c r="AH179" i="5"/>
  <c r="M179" i="5"/>
  <c r="AT179" i="5" s="1"/>
  <c r="L179" i="5"/>
  <c r="K179" i="5"/>
  <c r="J179" i="5"/>
  <c r="H179" i="5"/>
  <c r="BZ178" i="5"/>
  <c r="BX178" i="5"/>
  <c r="BO178" i="5"/>
  <c r="BN178" i="5"/>
  <c r="BF178" i="5"/>
  <c r="BE178" i="5"/>
  <c r="BA178" i="5"/>
  <c r="AW178" i="5"/>
  <c r="AV178" i="5"/>
  <c r="AU178" i="5"/>
  <c r="AM178" i="5"/>
  <c r="AL178" i="5"/>
  <c r="AK178" i="5"/>
  <c r="AJ178" i="5"/>
  <c r="AI178" i="5"/>
  <c r="AH178" i="5"/>
  <c r="M178" i="5"/>
  <c r="AT178" i="5" s="1"/>
  <c r="L178" i="5"/>
  <c r="K178" i="5"/>
  <c r="J178" i="5"/>
  <c r="H178" i="5"/>
  <c r="BZ177" i="5"/>
  <c r="BX177" i="5"/>
  <c r="BO177" i="5"/>
  <c r="BN177" i="5"/>
  <c r="BF177" i="5"/>
  <c r="BE177" i="5"/>
  <c r="AV177" i="5"/>
  <c r="AW177" i="5" s="1"/>
  <c r="AU177" i="5"/>
  <c r="AL177" i="5"/>
  <c r="AK177" i="5"/>
  <c r="AJ177" i="5"/>
  <c r="AI177" i="5"/>
  <c r="AH177" i="5"/>
  <c r="M177" i="5"/>
  <c r="AT177" i="5" s="1"/>
  <c r="L177" i="5"/>
  <c r="K177" i="5"/>
  <c r="J177" i="5"/>
  <c r="H177" i="5"/>
  <c r="BZ176" i="5"/>
  <c r="BX176" i="5"/>
  <c r="BO176" i="5"/>
  <c r="BN176" i="5"/>
  <c r="BF176" i="5"/>
  <c r="BE176" i="5"/>
  <c r="AM176" i="5"/>
  <c r="BA176" i="5" s="1"/>
  <c r="AL176" i="5"/>
  <c r="AV176" i="5" s="1"/>
  <c r="AW176" i="5" s="1"/>
  <c r="AK176" i="5"/>
  <c r="AJ176" i="5"/>
  <c r="AI176" i="5"/>
  <c r="AU176" i="5" s="1"/>
  <c r="AH176" i="5"/>
  <c r="M176" i="5"/>
  <c r="AT176" i="5" s="1"/>
  <c r="L176" i="5"/>
  <c r="K176" i="5"/>
  <c r="J176" i="5"/>
  <c r="H176" i="5"/>
  <c r="BZ175" i="5"/>
  <c r="BX175" i="5"/>
  <c r="BO175" i="5"/>
  <c r="BN175" i="5"/>
  <c r="BF175" i="5"/>
  <c r="BE175" i="5"/>
  <c r="AV175" i="5"/>
  <c r="AW175" i="5" s="1"/>
  <c r="AU175" i="5"/>
  <c r="AM175" i="5"/>
  <c r="BA175" i="5" s="1"/>
  <c r="AL175" i="5"/>
  <c r="AK175" i="5"/>
  <c r="AJ175" i="5"/>
  <c r="AI175" i="5"/>
  <c r="AH175" i="5"/>
  <c r="M175" i="5"/>
  <c r="AT175" i="5" s="1"/>
  <c r="L175" i="5"/>
  <c r="K175" i="5"/>
  <c r="J175" i="5"/>
  <c r="H175" i="5"/>
  <c r="BZ174" i="5"/>
  <c r="BX174" i="5"/>
  <c r="BO174" i="5"/>
  <c r="BN174" i="5"/>
  <c r="BF174" i="5"/>
  <c r="BE174" i="5"/>
  <c r="BA174" i="5"/>
  <c r="AV174" i="5"/>
  <c r="AW174" i="5" s="1"/>
  <c r="AU174" i="5"/>
  <c r="AM174" i="5"/>
  <c r="AL174" i="5"/>
  <c r="AK174" i="5"/>
  <c r="AJ174" i="5"/>
  <c r="AI174" i="5"/>
  <c r="AH174" i="5"/>
  <c r="M174" i="5"/>
  <c r="AT174" i="5" s="1"/>
  <c r="L174" i="5"/>
  <c r="K174" i="5"/>
  <c r="J174" i="5"/>
  <c r="H174" i="5"/>
  <c r="BZ173" i="5"/>
  <c r="BX173" i="5"/>
  <c r="BO173" i="5"/>
  <c r="BN173" i="5"/>
  <c r="BF173" i="5"/>
  <c r="BE173" i="5"/>
  <c r="BA173" i="5"/>
  <c r="AL173" i="5"/>
  <c r="AV173" i="5" s="1"/>
  <c r="AK173" i="5"/>
  <c r="AJ173" i="5"/>
  <c r="AI173" i="5"/>
  <c r="AU173" i="5" s="1"/>
  <c r="AH173" i="5"/>
  <c r="AM173" i="5" s="1"/>
  <c r="M173" i="5"/>
  <c r="AT173" i="5" s="1"/>
  <c r="L173" i="5"/>
  <c r="K173" i="5"/>
  <c r="J173" i="5"/>
  <c r="H173" i="5"/>
  <c r="BZ172" i="5"/>
  <c r="BX172" i="5"/>
  <c r="BO172" i="5"/>
  <c r="BN172" i="5"/>
  <c r="BF172" i="5"/>
  <c r="BE172" i="5"/>
  <c r="AU172" i="5"/>
  <c r="AM172" i="5"/>
  <c r="BA172" i="5" s="1"/>
  <c r="AL172" i="5"/>
  <c r="AV172" i="5" s="1"/>
  <c r="AW172" i="5" s="1"/>
  <c r="AK172" i="5"/>
  <c r="AJ172" i="5"/>
  <c r="AI172" i="5"/>
  <c r="AH172" i="5"/>
  <c r="M172" i="5"/>
  <c r="AT172" i="5" s="1"/>
  <c r="L172" i="5"/>
  <c r="K172" i="5"/>
  <c r="J172" i="5"/>
  <c r="H172" i="5"/>
  <c r="BZ171" i="5"/>
  <c r="BX171" i="5"/>
  <c r="BO171" i="5"/>
  <c r="BN171" i="5"/>
  <c r="BF171" i="5"/>
  <c r="BE171" i="5"/>
  <c r="AV171" i="5"/>
  <c r="AW171" i="5" s="1"/>
  <c r="AU171" i="5"/>
  <c r="AT171" i="5"/>
  <c r="AL171" i="5"/>
  <c r="AK171" i="5"/>
  <c r="AJ171" i="5"/>
  <c r="AI171" i="5"/>
  <c r="AH171" i="5"/>
  <c r="AM171" i="5" s="1"/>
  <c r="BA171" i="5" s="1"/>
  <c r="M171" i="5"/>
  <c r="L171" i="5"/>
  <c r="K171" i="5"/>
  <c r="J171" i="5"/>
  <c r="H171" i="5"/>
  <c r="BZ170" i="5"/>
  <c r="BX170" i="5"/>
  <c r="BO170" i="5"/>
  <c r="BN170" i="5"/>
  <c r="BF170" i="5"/>
  <c r="BE170" i="5"/>
  <c r="BA170" i="5"/>
  <c r="AV170" i="5"/>
  <c r="AL170" i="5"/>
  <c r="AK170" i="5"/>
  <c r="AW170" i="5" s="1"/>
  <c r="AJ170" i="5"/>
  <c r="AI170" i="5"/>
  <c r="AU170" i="5" s="1"/>
  <c r="AH170" i="5"/>
  <c r="AM170" i="5" s="1"/>
  <c r="M170" i="5"/>
  <c r="AT170" i="5" s="1"/>
  <c r="L170" i="5"/>
  <c r="K170" i="5"/>
  <c r="J170" i="5"/>
  <c r="H170" i="5"/>
  <c r="BZ169" i="5"/>
  <c r="BX169" i="5"/>
  <c r="BO169" i="5"/>
  <c r="BN169" i="5"/>
  <c r="BF169" i="5"/>
  <c r="BE169" i="5"/>
  <c r="AU169" i="5"/>
  <c r="AT169" i="5"/>
  <c r="AM169" i="5"/>
  <c r="BA169" i="5" s="1"/>
  <c r="AL169" i="5"/>
  <c r="AV169" i="5" s="1"/>
  <c r="AW169" i="5" s="1"/>
  <c r="AK169" i="5"/>
  <c r="AJ169" i="5"/>
  <c r="AI169" i="5"/>
  <c r="AH169" i="5"/>
  <c r="M169" i="5"/>
  <c r="L169" i="5"/>
  <c r="K169" i="5"/>
  <c r="J169" i="5"/>
  <c r="H169" i="5"/>
  <c r="BZ168" i="5"/>
  <c r="BX168" i="5"/>
  <c r="BO168" i="5"/>
  <c r="BN168" i="5"/>
  <c r="BF168" i="5"/>
  <c r="BE168" i="5"/>
  <c r="AT168" i="5"/>
  <c r="AL168" i="5"/>
  <c r="AV168" i="5" s="1"/>
  <c r="AW168" i="5" s="1"/>
  <c r="AK168" i="5"/>
  <c r="AJ168" i="5"/>
  <c r="AI168" i="5"/>
  <c r="AU168" i="5" s="1"/>
  <c r="AH168" i="5"/>
  <c r="AM168" i="5" s="1"/>
  <c r="BA168" i="5" s="1"/>
  <c r="M168" i="5"/>
  <c r="L168" i="5"/>
  <c r="K168" i="5"/>
  <c r="J168" i="5"/>
  <c r="H168" i="5"/>
  <c r="BZ167" i="5"/>
  <c r="BX167" i="5"/>
  <c r="BO167" i="5"/>
  <c r="BN167" i="5"/>
  <c r="BF167" i="5"/>
  <c r="BE167" i="5"/>
  <c r="AW167" i="5"/>
  <c r="AV167" i="5"/>
  <c r="AL167" i="5"/>
  <c r="AK167" i="5"/>
  <c r="AJ167" i="5"/>
  <c r="AI167" i="5"/>
  <c r="AU167" i="5" s="1"/>
  <c r="AH167" i="5"/>
  <c r="M167" i="5"/>
  <c r="AT167" i="5" s="1"/>
  <c r="L167" i="5"/>
  <c r="K167" i="5"/>
  <c r="J167" i="5"/>
  <c r="H167" i="5"/>
  <c r="BZ166" i="5"/>
  <c r="BX166" i="5"/>
  <c r="BO166" i="5"/>
  <c r="BN166" i="5"/>
  <c r="BF166" i="5"/>
  <c r="BE166" i="5"/>
  <c r="AU166" i="5"/>
  <c r="AM166" i="5"/>
  <c r="BA166" i="5" s="1"/>
  <c r="AL166" i="5"/>
  <c r="AV166" i="5" s="1"/>
  <c r="AK166" i="5"/>
  <c r="AJ166" i="5"/>
  <c r="AI166" i="5"/>
  <c r="AH166" i="5"/>
  <c r="M166" i="5"/>
  <c r="AT166" i="5" s="1"/>
  <c r="L166" i="5"/>
  <c r="K166" i="5"/>
  <c r="J166" i="5"/>
  <c r="H166" i="5"/>
  <c r="BZ165" i="5"/>
  <c r="BX165" i="5"/>
  <c r="BO165" i="5"/>
  <c r="BN165" i="5"/>
  <c r="BF165" i="5"/>
  <c r="BE165" i="5"/>
  <c r="AV165" i="5"/>
  <c r="AW165" i="5" s="1"/>
  <c r="AL165" i="5"/>
  <c r="AK165" i="5"/>
  <c r="AJ165" i="5"/>
  <c r="AI165" i="5"/>
  <c r="AU165" i="5" s="1"/>
  <c r="AH165" i="5"/>
  <c r="M165" i="5"/>
  <c r="AT165" i="5" s="1"/>
  <c r="L165" i="5"/>
  <c r="K165" i="5"/>
  <c r="J165" i="5"/>
  <c r="H165" i="5"/>
  <c r="BZ164" i="5"/>
  <c r="BX164" i="5"/>
  <c r="BO164" i="5"/>
  <c r="BN164" i="5"/>
  <c r="BF164" i="5"/>
  <c r="BE164" i="5"/>
  <c r="AM164" i="5"/>
  <c r="BA164" i="5" s="1"/>
  <c r="AL164" i="5"/>
  <c r="AV164" i="5" s="1"/>
  <c r="AK164" i="5"/>
  <c r="AJ164" i="5"/>
  <c r="AI164" i="5"/>
  <c r="AU164" i="5" s="1"/>
  <c r="AH164" i="5"/>
  <c r="M164" i="5"/>
  <c r="AT164" i="5" s="1"/>
  <c r="L164" i="5"/>
  <c r="K164" i="5"/>
  <c r="J164" i="5"/>
  <c r="H164" i="5"/>
  <c r="BZ163" i="5"/>
  <c r="BX163" i="5"/>
  <c r="BO163" i="5"/>
  <c r="BN163" i="5"/>
  <c r="BF163" i="5"/>
  <c r="BE163" i="5"/>
  <c r="AU163" i="5"/>
  <c r="AM163" i="5"/>
  <c r="BA163" i="5" s="1"/>
  <c r="AL163" i="5"/>
  <c r="AV163" i="5" s="1"/>
  <c r="AW163" i="5" s="1"/>
  <c r="AK163" i="5"/>
  <c r="AJ163" i="5"/>
  <c r="AI163" i="5"/>
  <c r="AH163" i="5"/>
  <c r="M163" i="5"/>
  <c r="AT163" i="5" s="1"/>
  <c r="L163" i="5"/>
  <c r="K163" i="5"/>
  <c r="J163" i="5"/>
  <c r="H163" i="5"/>
  <c r="BZ162" i="5"/>
  <c r="BX162" i="5"/>
  <c r="BO162" i="5"/>
  <c r="BN162" i="5"/>
  <c r="BF162" i="5"/>
  <c r="BE162" i="5"/>
  <c r="BA162" i="5"/>
  <c r="AW162" i="5"/>
  <c r="AV162" i="5"/>
  <c r="AU162" i="5"/>
  <c r="AM162" i="5"/>
  <c r="AL162" i="5"/>
  <c r="AK162" i="5"/>
  <c r="AJ162" i="5"/>
  <c r="AI162" i="5"/>
  <c r="AH162" i="5"/>
  <c r="M162" i="5"/>
  <c r="AT162" i="5" s="1"/>
  <c r="L162" i="5"/>
  <c r="K162" i="5"/>
  <c r="J162" i="5"/>
  <c r="H162" i="5"/>
  <c r="BZ161" i="5"/>
  <c r="BX161" i="5"/>
  <c r="BO161" i="5"/>
  <c r="BN161" i="5"/>
  <c r="BF161" i="5"/>
  <c r="BE161" i="5"/>
  <c r="BA161" i="5"/>
  <c r="AU161" i="5"/>
  <c r="AL161" i="5"/>
  <c r="AV161" i="5" s="1"/>
  <c r="AW161" i="5" s="1"/>
  <c r="AK161" i="5"/>
  <c r="AJ161" i="5"/>
  <c r="AI161" i="5"/>
  <c r="AH161" i="5"/>
  <c r="AM161" i="5" s="1"/>
  <c r="M161" i="5"/>
  <c r="AT161" i="5" s="1"/>
  <c r="L161" i="5"/>
  <c r="K161" i="5"/>
  <c r="J161" i="5"/>
  <c r="H161" i="5"/>
  <c r="BZ160" i="5"/>
  <c r="BX160" i="5"/>
  <c r="BO160" i="5"/>
  <c r="BN160" i="5"/>
  <c r="BF160" i="5"/>
  <c r="BE160" i="5"/>
  <c r="BA160" i="5"/>
  <c r="AU160" i="5"/>
  <c r="AT160" i="5"/>
  <c r="AM160" i="5"/>
  <c r="AL160" i="5"/>
  <c r="AV160" i="5" s="1"/>
  <c r="AW160" i="5" s="1"/>
  <c r="AK160" i="5"/>
  <c r="AJ160" i="5"/>
  <c r="AI160" i="5"/>
  <c r="AH160" i="5"/>
  <c r="M160" i="5"/>
  <c r="L160" i="5"/>
  <c r="K160" i="5"/>
  <c r="J160" i="5"/>
  <c r="H160" i="5"/>
  <c r="BZ159" i="5"/>
  <c r="BX159" i="5"/>
  <c r="BO159" i="5"/>
  <c r="BN159" i="5"/>
  <c r="BF159" i="5"/>
  <c r="BE159" i="5"/>
  <c r="AV159" i="5"/>
  <c r="AW159" i="5" s="1"/>
  <c r="AM159" i="5"/>
  <c r="BA159" i="5" s="1"/>
  <c r="AL159" i="5"/>
  <c r="AK159" i="5"/>
  <c r="AJ159" i="5"/>
  <c r="AI159" i="5"/>
  <c r="AU159" i="5" s="1"/>
  <c r="AH159" i="5"/>
  <c r="M159" i="5"/>
  <c r="AT159" i="5" s="1"/>
  <c r="L159" i="5"/>
  <c r="K159" i="5"/>
  <c r="J159" i="5"/>
  <c r="H159" i="5"/>
  <c r="BZ158" i="5"/>
  <c r="BX158" i="5"/>
  <c r="BO158" i="5"/>
  <c r="BN158" i="5"/>
  <c r="BF158" i="5"/>
  <c r="BE158" i="5"/>
  <c r="BA158" i="5"/>
  <c r="AV158" i="5"/>
  <c r="AT158" i="5"/>
  <c r="AM158" i="5"/>
  <c r="AL158" i="5"/>
  <c r="AK158" i="5"/>
  <c r="AJ158" i="5"/>
  <c r="AI158" i="5"/>
  <c r="AU158" i="5" s="1"/>
  <c r="AH158" i="5"/>
  <c r="M158" i="5"/>
  <c r="L158" i="5"/>
  <c r="K158" i="5"/>
  <c r="J158" i="5"/>
  <c r="H158" i="5"/>
  <c r="BZ157" i="5"/>
  <c r="BX157" i="5"/>
  <c r="BO157" i="5"/>
  <c r="BN157" i="5"/>
  <c r="BF157" i="5"/>
  <c r="BE157" i="5"/>
  <c r="BA157" i="5"/>
  <c r="AL157" i="5"/>
  <c r="AV157" i="5" s="1"/>
  <c r="AW157" i="5" s="1"/>
  <c r="AK157" i="5"/>
  <c r="AJ157" i="5"/>
  <c r="AI157" i="5"/>
  <c r="AU157" i="5" s="1"/>
  <c r="AH157" i="5"/>
  <c r="AM157" i="5" s="1"/>
  <c r="M157" i="5"/>
  <c r="AT157" i="5" s="1"/>
  <c r="L157" i="5"/>
  <c r="K157" i="5"/>
  <c r="J157" i="5"/>
  <c r="H157" i="5"/>
  <c r="BZ156" i="5"/>
  <c r="BX156" i="5"/>
  <c r="BO156" i="5"/>
  <c r="BN156" i="5"/>
  <c r="BF156" i="5"/>
  <c r="BE156" i="5"/>
  <c r="AT156" i="5"/>
  <c r="AL156" i="5"/>
  <c r="AV156" i="5" s="1"/>
  <c r="AW156" i="5" s="1"/>
  <c r="AK156" i="5"/>
  <c r="AJ156" i="5"/>
  <c r="AI156" i="5"/>
  <c r="AU156" i="5" s="1"/>
  <c r="AH156" i="5"/>
  <c r="M156" i="5"/>
  <c r="L156" i="5"/>
  <c r="K156" i="5"/>
  <c r="J156" i="5"/>
  <c r="H156" i="5"/>
  <c r="BZ155" i="5"/>
  <c r="BX155" i="5"/>
  <c r="BO155" i="5"/>
  <c r="BN155" i="5"/>
  <c r="BF155" i="5"/>
  <c r="BE155" i="5"/>
  <c r="AV155" i="5"/>
  <c r="AW155" i="5" s="1"/>
  <c r="AU155" i="5"/>
  <c r="AL155" i="5"/>
  <c r="AK155" i="5"/>
  <c r="AJ155" i="5"/>
  <c r="AI155" i="5"/>
  <c r="AH155" i="5"/>
  <c r="AM155" i="5" s="1"/>
  <c r="BA155" i="5" s="1"/>
  <c r="M155" i="5"/>
  <c r="AT155" i="5" s="1"/>
  <c r="L155" i="5"/>
  <c r="K155" i="5"/>
  <c r="J155" i="5"/>
  <c r="H155" i="5"/>
  <c r="BZ154" i="5"/>
  <c r="BX154" i="5"/>
  <c r="BO154" i="5"/>
  <c r="BN154" i="5"/>
  <c r="BF154" i="5"/>
  <c r="BE154" i="5"/>
  <c r="AV154" i="5"/>
  <c r="AM154" i="5"/>
  <c r="BA154" i="5" s="1"/>
  <c r="AL154" i="5"/>
  <c r="AK154" i="5"/>
  <c r="AW154" i="5" s="1"/>
  <c r="AJ154" i="5"/>
  <c r="AI154" i="5"/>
  <c r="AU154" i="5" s="1"/>
  <c r="AH154" i="5"/>
  <c r="M154" i="5"/>
  <c r="AT154" i="5" s="1"/>
  <c r="L154" i="5"/>
  <c r="K154" i="5"/>
  <c r="J154" i="5"/>
  <c r="H154" i="5"/>
  <c r="BZ153" i="5"/>
  <c r="BX153" i="5"/>
  <c r="BO153" i="5"/>
  <c r="BN153" i="5"/>
  <c r="BF153" i="5"/>
  <c r="BE153" i="5"/>
  <c r="AW153" i="5"/>
  <c r="AT153" i="5"/>
  <c r="AM153" i="5"/>
  <c r="BA153" i="5" s="1"/>
  <c r="AL153" i="5"/>
  <c r="AV153" i="5" s="1"/>
  <c r="AK153" i="5"/>
  <c r="AJ153" i="5"/>
  <c r="AI153" i="5"/>
  <c r="AU153" i="5" s="1"/>
  <c r="AH153" i="5"/>
  <c r="M153" i="5"/>
  <c r="L153" i="5"/>
  <c r="K153" i="5"/>
  <c r="J153" i="5"/>
  <c r="H153" i="5"/>
  <c r="BZ152" i="5"/>
  <c r="BX152" i="5"/>
  <c r="BO152" i="5"/>
  <c r="BN152" i="5"/>
  <c r="BF152" i="5"/>
  <c r="BE152" i="5"/>
  <c r="AV152" i="5"/>
  <c r="AW152" i="5" s="1"/>
  <c r="AT152" i="5"/>
  <c r="AM152" i="5"/>
  <c r="BA152" i="5" s="1"/>
  <c r="AL152" i="5"/>
  <c r="AK152" i="5"/>
  <c r="AJ152" i="5"/>
  <c r="AI152" i="5"/>
  <c r="AU152" i="5" s="1"/>
  <c r="AH152" i="5"/>
  <c r="M152" i="5"/>
  <c r="L152" i="5"/>
  <c r="K152" i="5"/>
  <c r="J152" i="5"/>
  <c r="H152" i="5"/>
  <c r="BZ151" i="5"/>
  <c r="BX151" i="5"/>
  <c r="BO151" i="5"/>
  <c r="BN151" i="5"/>
  <c r="BF151" i="5"/>
  <c r="BE151" i="5"/>
  <c r="AU151" i="5"/>
  <c r="AL151" i="5"/>
  <c r="AV151" i="5" s="1"/>
  <c r="AW151" i="5" s="1"/>
  <c r="AK151" i="5"/>
  <c r="AJ151" i="5"/>
  <c r="AI151" i="5"/>
  <c r="AH151" i="5"/>
  <c r="M151" i="5"/>
  <c r="AT151" i="5" s="1"/>
  <c r="L151" i="5"/>
  <c r="K151" i="5"/>
  <c r="J151" i="5"/>
  <c r="H151" i="5"/>
  <c r="BZ150" i="5"/>
  <c r="BX150" i="5"/>
  <c r="BO150" i="5"/>
  <c r="BN150" i="5"/>
  <c r="BF150" i="5"/>
  <c r="BE150" i="5"/>
  <c r="AV150" i="5"/>
  <c r="AM150" i="5"/>
  <c r="BA150" i="5" s="1"/>
  <c r="AL150" i="5"/>
  <c r="AK150" i="5"/>
  <c r="AW150" i="5" s="1"/>
  <c r="AJ150" i="5"/>
  <c r="AI150" i="5"/>
  <c r="AU150" i="5" s="1"/>
  <c r="AH150" i="5"/>
  <c r="M150" i="5"/>
  <c r="AT150" i="5" s="1"/>
  <c r="L150" i="5"/>
  <c r="K150" i="5"/>
  <c r="J150" i="5"/>
  <c r="H150" i="5"/>
  <c r="BZ149" i="5"/>
  <c r="BX149" i="5"/>
  <c r="BO149" i="5"/>
  <c r="BN149" i="5"/>
  <c r="BF149" i="5"/>
  <c r="BE149" i="5"/>
  <c r="AV149" i="5"/>
  <c r="AW149" i="5" s="1"/>
  <c r="AU149" i="5"/>
  <c r="AL149" i="5"/>
  <c r="AK149" i="5"/>
  <c r="AJ149" i="5"/>
  <c r="AI149" i="5"/>
  <c r="AH149" i="5"/>
  <c r="M149" i="5"/>
  <c r="AT149" i="5" s="1"/>
  <c r="L149" i="5"/>
  <c r="K149" i="5"/>
  <c r="J149" i="5"/>
  <c r="H149" i="5"/>
  <c r="BZ148" i="5"/>
  <c r="BX148" i="5"/>
  <c r="BO148" i="5"/>
  <c r="BN148" i="5"/>
  <c r="BF148" i="5"/>
  <c r="BE148" i="5"/>
  <c r="AW148" i="5"/>
  <c r="AV148" i="5"/>
  <c r="AM148" i="5"/>
  <c r="BA148" i="5" s="1"/>
  <c r="AL148" i="5"/>
  <c r="AK148" i="5"/>
  <c r="AJ148" i="5"/>
  <c r="AI148" i="5"/>
  <c r="AU148" i="5" s="1"/>
  <c r="AH148" i="5"/>
  <c r="M148" i="5"/>
  <c r="AT148" i="5" s="1"/>
  <c r="L148" i="5"/>
  <c r="K148" i="5"/>
  <c r="J148" i="5"/>
  <c r="H148" i="5"/>
  <c r="BZ147" i="5"/>
  <c r="BX147" i="5"/>
  <c r="BO147" i="5"/>
  <c r="BN147" i="5"/>
  <c r="BF147" i="5"/>
  <c r="BE147" i="5"/>
  <c r="AV147" i="5"/>
  <c r="AW147" i="5" s="1"/>
  <c r="AU147" i="5"/>
  <c r="AM147" i="5"/>
  <c r="BA147" i="5" s="1"/>
  <c r="AL147" i="5"/>
  <c r="AK147" i="5"/>
  <c r="AJ147" i="5"/>
  <c r="AI147" i="5"/>
  <c r="AH147" i="5"/>
  <c r="M147" i="5"/>
  <c r="AT147" i="5" s="1"/>
  <c r="L147" i="5"/>
  <c r="K147" i="5"/>
  <c r="J147" i="5"/>
  <c r="H147" i="5"/>
  <c r="BZ146" i="5"/>
  <c r="BX146" i="5"/>
  <c r="BO146" i="5"/>
  <c r="BN146" i="5"/>
  <c r="BF146" i="5"/>
  <c r="BE146" i="5"/>
  <c r="BA146" i="5"/>
  <c r="AV146" i="5"/>
  <c r="AW146" i="5" s="1"/>
  <c r="AU146" i="5"/>
  <c r="AM146" i="5"/>
  <c r="AL146" i="5"/>
  <c r="AK146" i="5"/>
  <c r="AJ146" i="5"/>
  <c r="AI146" i="5"/>
  <c r="AH146" i="5"/>
  <c r="M146" i="5"/>
  <c r="AT146" i="5" s="1"/>
  <c r="L146" i="5"/>
  <c r="K146" i="5"/>
  <c r="J146" i="5"/>
  <c r="H146" i="5"/>
  <c r="BZ145" i="5"/>
  <c r="BX145" i="5"/>
  <c r="BO145" i="5"/>
  <c r="BN145" i="5"/>
  <c r="BF145" i="5"/>
  <c r="BE145" i="5"/>
  <c r="BA145" i="5"/>
  <c r="AV145" i="5"/>
  <c r="AW145" i="5" s="1"/>
  <c r="AU145" i="5"/>
  <c r="AT145" i="5"/>
  <c r="AL145" i="5"/>
  <c r="AK145" i="5"/>
  <c r="AJ145" i="5"/>
  <c r="AI145" i="5"/>
  <c r="AH145" i="5"/>
  <c r="AM145" i="5" s="1"/>
  <c r="M145" i="5"/>
  <c r="L145" i="5"/>
  <c r="K145" i="5"/>
  <c r="J145" i="5"/>
  <c r="H145" i="5"/>
  <c r="BZ144" i="5"/>
  <c r="BX144" i="5"/>
  <c r="BO144" i="5"/>
  <c r="BN144" i="5"/>
  <c r="BF144" i="5"/>
  <c r="BE144" i="5"/>
  <c r="AV144" i="5"/>
  <c r="AW144" i="5" s="1"/>
  <c r="AT144" i="5"/>
  <c r="AM144" i="5"/>
  <c r="BA144" i="5" s="1"/>
  <c r="AL144" i="5"/>
  <c r="AK144" i="5"/>
  <c r="AJ144" i="5"/>
  <c r="AI144" i="5"/>
  <c r="AU144" i="5" s="1"/>
  <c r="AH144" i="5"/>
  <c r="M144" i="5"/>
  <c r="L144" i="5"/>
  <c r="K144" i="5"/>
  <c r="J144" i="5"/>
  <c r="H144" i="5"/>
  <c r="BZ143" i="5"/>
  <c r="BX143" i="5"/>
  <c r="BO143" i="5"/>
  <c r="BN143" i="5"/>
  <c r="BF143" i="5"/>
  <c r="BE143" i="5"/>
  <c r="BA143" i="5"/>
  <c r="AM143" i="5"/>
  <c r="AL143" i="5"/>
  <c r="AV143" i="5" s="1"/>
  <c r="AW143" i="5" s="1"/>
  <c r="AK143" i="5"/>
  <c r="AJ143" i="5"/>
  <c r="AI143" i="5"/>
  <c r="AU143" i="5" s="1"/>
  <c r="AH143" i="5"/>
  <c r="M143" i="5"/>
  <c r="AT143" i="5" s="1"/>
  <c r="L143" i="5"/>
  <c r="K143" i="5"/>
  <c r="J143" i="5"/>
  <c r="H143" i="5"/>
  <c r="BZ142" i="5"/>
  <c r="BX142" i="5"/>
  <c r="BO142" i="5"/>
  <c r="BN142" i="5"/>
  <c r="BF142" i="5"/>
  <c r="BE142" i="5"/>
  <c r="AV142" i="5"/>
  <c r="AW142" i="5" s="1"/>
  <c r="AU142" i="5"/>
  <c r="AT142" i="5"/>
  <c r="AM142" i="5"/>
  <c r="BA142" i="5" s="1"/>
  <c r="AL142" i="5"/>
  <c r="AK142" i="5"/>
  <c r="AJ142" i="5"/>
  <c r="AI142" i="5"/>
  <c r="AH142" i="5"/>
  <c r="M142" i="5"/>
  <c r="L142" i="5"/>
  <c r="K142" i="5"/>
  <c r="J142" i="5"/>
  <c r="H142" i="5"/>
  <c r="BZ141" i="5"/>
  <c r="BX141" i="5"/>
  <c r="BO141" i="5"/>
  <c r="BN141" i="5"/>
  <c r="BF141" i="5"/>
  <c r="BE141" i="5"/>
  <c r="AU141" i="5"/>
  <c r="AT141" i="5"/>
  <c r="AL141" i="5"/>
  <c r="AV141" i="5" s="1"/>
  <c r="AW141" i="5" s="1"/>
  <c r="AK141" i="5"/>
  <c r="AJ141" i="5"/>
  <c r="AI141" i="5"/>
  <c r="AH141" i="5"/>
  <c r="M141" i="5"/>
  <c r="L141" i="5"/>
  <c r="K141" i="5"/>
  <c r="J141" i="5"/>
  <c r="H141" i="5"/>
  <c r="BZ140" i="5"/>
  <c r="BX140" i="5"/>
  <c r="BO140" i="5"/>
  <c r="BN140" i="5"/>
  <c r="BF140" i="5"/>
  <c r="BE140" i="5"/>
  <c r="AU140" i="5"/>
  <c r="AL140" i="5"/>
  <c r="AV140" i="5" s="1"/>
  <c r="AW140" i="5" s="1"/>
  <c r="AK140" i="5"/>
  <c r="AJ140" i="5"/>
  <c r="AI140" i="5"/>
  <c r="AH140" i="5"/>
  <c r="AM140" i="5" s="1"/>
  <c r="BA140" i="5" s="1"/>
  <c r="M140" i="5"/>
  <c r="AT140" i="5" s="1"/>
  <c r="L140" i="5"/>
  <c r="K140" i="5"/>
  <c r="J140" i="5"/>
  <c r="H140" i="5"/>
  <c r="BZ139" i="5"/>
  <c r="BX139" i="5"/>
  <c r="BO139" i="5"/>
  <c r="BN139" i="5"/>
  <c r="BF139" i="5"/>
  <c r="BE139" i="5"/>
  <c r="AL139" i="5"/>
  <c r="AV139" i="5" s="1"/>
  <c r="AW139" i="5" s="1"/>
  <c r="AK139" i="5"/>
  <c r="AJ139" i="5"/>
  <c r="AI139" i="5"/>
  <c r="AU139" i="5" s="1"/>
  <c r="AH139" i="5"/>
  <c r="AM139" i="5" s="1"/>
  <c r="BA139" i="5" s="1"/>
  <c r="M139" i="5"/>
  <c r="AT139" i="5" s="1"/>
  <c r="L139" i="5"/>
  <c r="K139" i="5"/>
  <c r="J139" i="5"/>
  <c r="H139" i="5"/>
  <c r="BZ138" i="5"/>
  <c r="BX138" i="5"/>
  <c r="BO138" i="5"/>
  <c r="BN138" i="5"/>
  <c r="BF138" i="5"/>
  <c r="BE138" i="5"/>
  <c r="AT138" i="5"/>
  <c r="AM138" i="5"/>
  <c r="BA138" i="5" s="1"/>
  <c r="AL138" i="5"/>
  <c r="AV138" i="5" s="1"/>
  <c r="AW138" i="5" s="1"/>
  <c r="AK138" i="5"/>
  <c r="AJ138" i="5"/>
  <c r="AI138" i="5"/>
  <c r="AU138" i="5" s="1"/>
  <c r="AH138" i="5"/>
  <c r="M138" i="5"/>
  <c r="L138" i="5"/>
  <c r="K138" i="5"/>
  <c r="J138" i="5"/>
  <c r="H138" i="5"/>
  <c r="BZ137" i="5"/>
  <c r="BX137" i="5"/>
  <c r="BO137" i="5"/>
  <c r="BN137" i="5"/>
  <c r="BF137" i="5"/>
  <c r="BE137" i="5"/>
  <c r="AU137" i="5"/>
  <c r="AL137" i="5"/>
  <c r="AV137" i="5" s="1"/>
  <c r="AW137" i="5" s="1"/>
  <c r="AK137" i="5"/>
  <c r="AJ137" i="5"/>
  <c r="AI137" i="5"/>
  <c r="AH137" i="5"/>
  <c r="M137" i="5"/>
  <c r="AT137" i="5" s="1"/>
  <c r="L137" i="5"/>
  <c r="K137" i="5"/>
  <c r="J137" i="5"/>
  <c r="H137" i="5"/>
  <c r="BZ136" i="5"/>
  <c r="BX136" i="5"/>
  <c r="BO136" i="5"/>
  <c r="BN136" i="5"/>
  <c r="BF136" i="5"/>
  <c r="BE136" i="5"/>
  <c r="AW136" i="5"/>
  <c r="AV136" i="5"/>
  <c r="AU136" i="5"/>
  <c r="AL136" i="5"/>
  <c r="AK136" i="5"/>
  <c r="AJ136" i="5"/>
  <c r="AI136" i="5"/>
  <c r="AH136" i="5"/>
  <c r="AM136" i="5" s="1"/>
  <c r="BA136" i="5" s="1"/>
  <c r="M136" i="5"/>
  <c r="AT136" i="5" s="1"/>
  <c r="L136" i="5"/>
  <c r="K136" i="5"/>
  <c r="J136" i="5"/>
  <c r="H136" i="5"/>
  <c r="BZ135" i="5"/>
  <c r="BX135" i="5"/>
  <c r="BO135" i="5"/>
  <c r="BN135" i="5"/>
  <c r="BF135" i="5"/>
  <c r="BE135" i="5"/>
  <c r="AV135" i="5"/>
  <c r="AW135" i="5" s="1"/>
  <c r="AU135" i="5"/>
  <c r="AT135" i="5"/>
  <c r="AL135" i="5"/>
  <c r="AK135" i="5"/>
  <c r="AJ135" i="5"/>
  <c r="AI135" i="5"/>
  <c r="AH135" i="5"/>
  <c r="AM135" i="5" s="1"/>
  <c r="BA135" i="5" s="1"/>
  <c r="M135" i="5"/>
  <c r="L135" i="5"/>
  <c r="K135" i="5"/>
  <c r="J135" i="5"/>
  <c r="H135" i="5"/>
  <c r="BZ134" i="5"/>
  <c r="BX134" i="5"/>
  <c r="BO134" i="5"/>
  <c r="BN134" i="5"/>
  <c r="BF134" i="5"/>
  <c r="BE134" i="5"/>
  <c r="AW134" i="5"/>
  <c r="AV134" i="5"/>
  <c r="AU134" i="5"/>
  <c r="AM134" i="5"/>
  <c r="BA134" i="5" s="1"/>
  <c r="AL134" i="5"/>
  <c r="AK134" i="5"/>
  <c r="AJ134" i="5"/>
  <c r="AI134" i="5"/>
  <c r="AH134" i="5"/>
  <c r="M134" i="5"/>
  <c r="AT134" i="5" s="1"/>
  <c r="L134" i="5"/>
  <c r="K134" i="5"/>
  <c r="J134" i="5"/>
  <c r="H134" i="5"/>
  <c r="BZ133" i="5"/>
  <c r="BX133" i="5"/>
  <c r="BO133" i="5"/>
  <c r="BN133" i="5"/>
  <c r="BF133" i="5"/>
  <c r="BE133" i="5"/>
  <c r="AW133" i="5"/>
  <c r="AU133" i="5"/>
  <c r="AL133" i="5"/>
  <c r="AV133" i="5" s="1"/>
  <c r="AK133" i="5"/>
  <c r="AJ133" i="5"/>
  <c r="AI133" i="5"/>
  <c r="AH133" i="5"/>
  <c r="AM133" i="5" s="1"/>
  <c r="BA133" i="5" s="1"/>
  <c r="M133" i="5"/>
  <c r="AT133" i="5" s="1"/>
  <c r="L133" i="5"/>
  <c r="K133" i="5"/>
  <c r="J133" i="5"/>
  <c r="H133" i="5"/>
  <c r="BZ132" i="5"/>
  <c r="BX132" i="5"/>
  <c r="BO132" i="5"/>
  <c r="BN132" i="5"/>
  <c r="BF132" i="5"/>
  <c r="BE132" i="5"/>
  <c r="BA132" i="5"/>
  <c r="AU132" i="5"/>
  <c r="AT132" i="5"/>
  <c r="AM132" i="5"/>
  <c r="AL132" i="5"/>
  <c r="AV132" i="5" s="1"/>
  <c r="AW132" i="5" s="1"/>
  <c r="AK132" i="5"/>
  <c r="AJ132" i="5"/>
  <c r="AI132" i="5"/>
  <c r="AH132" i="5"/>
  <c r="M132" i="5"/>
  <c r="L132" i="5"/>
  <c r="K132" i="5"/>
  <c r="J132" i="5"/>
  <c r="H132" i="5"/>
  <c r="BZ131" i="5"/>
  <c r="BX131" i="5"/>
  <c r="BO131" i="5"/>
  <c r="BN131" i="5"/>
  <c r="BF131" i="5"/>
  <c r="BE131" i="5"/>
  <c r="AL131" i="5"/>
  <c r="AV131" i="5" s="1"/>
  <c r="AW131" i="5" s="1"/>
  <c r="AK131" i="5"/>
  <c r="AJ131" i="5"/>
  <c r="AI131" i="5"/>
  <c r="AU131" i="5" s="1"/>
  <c r="AH131" i="5"/>
  <c r="AM131" i="5" s="1"/>
  <c r="BA131" i="5" s="1"/>
  <c r="M131" i="5"/>
  <c r="AT131" i="5" s="1"/>
  <c r="L131" i="5"/>
  <c r="K131" i="5"/>
  <c r="J131" i="5"/>
  <c r="H131" i="5"/>
  <c r="BZ130" i="5"/>
  <c r="BX130" i="5"/>
  <c r="BO130" i="5"/>
  <c r="BN130" i="5"/>
  <c r="BF130" i="5"/>
  <c r="BE130" i="5"/>
  <c r="AW130" i="5"/>
  <c r="AV130" i="5"/>
  <c r="AU130" i="5"/>
  <c r="AM130" i="5"/>
  <c r="BA130" i="5" s="1"/>
  <c r="AL130" i="5"/>
  <c r="AK130" i="5"/>
  <c r="AJ130" i="5"/>
  <c r="AI130" i="5"/>
  <c r="AH130" i="5"/>
  <c r="M130" i="5"/>
  <c r="AT130" i="5" s="1"/>
  <c r="L130" i="5"/>
  <c r="K130" i="5"/>
  <c r="J130" i="5"/>
  <c r="H130" i="5"/>
  <c r="BZ129" i="5"/>
  <c r="BX129" i="5"/>
  <c r="BO129" i="5"/>
  <c r="BN129" i="5"/>
  <c r="BF129" i="5"/>
  <c r="BE129" i="5"/>
  <c r="AT129" i="5"/>
  <c r="AL129" i="5"/>
  <c r="AV129" i="5" s="1"/>
  <c r="AW129" i="5" s="1"/>
  <c r="AK129" i="5"/>
  <c r="AJ129" i="5"/>
  <c r="AI129" i="5"/>
  <c r="AU129" i="5" s="1"/>
  <c r="AH129" i="5"/>
  <c r="M129" i="5"/>
  <c r="L129" i="5"/>
  <c r="K129" i="5"/>
  <c r="J129" i="5"/>
  <c r="H129" i="5"/>
  <c r="BZ128" i="5"/>
  <c r="BX128" i="5"/>
  <c r="BO128" i="5"/>
  <c r="BN128" i="5"/>
  <c r="BF128" i="5"/>
  <c r="BE128" i="5"/>
  <c r="AV128" i="5"/>
  <c r="AW128" i="5" s="1"/>
  <c r="AU128" i="5"/>
  <c r="AM128" i="5"/>
  <c r="BA128" i="5" s="1"/>
  <c r="AL128" i="5"/>
  <c r="AK128" i="5"/>
  <c r="AJ128" i="5"/>
  <c r="AI128" i="5"/>
  <c r="AH128" i="5"/>
  <c r="M128" i="5"/>
  <c r="AT128" i="5" s="1"/>
  <c r="L128" i="5"/>
  <c r="K128" i="5"/>
  <c r="J128" i="5"/>
  <c r="H128" i="5"/>
  <c r="BZ127" i="5"/>
  <c r="BX127" i="5"/>
  <c r="BO127" i="5"/>
  <c r="BN127" i="5"/>
  <c r="BF127" i="5"/>
  <c r="BE127" i="5"/>
  <c r="AV127" i="5"/>
  <c r="AW127" i="5" s="1"/>
  <c r="AU127" i="5"/>
  <c r="AT127" i="5"/>
  <c r="AL127" i="5"/>
  <c r="AK127" i="5"/>
  <c r="AJ127" i="5"/>
  <c r="AI127" i="5"/>
  <c r="AH127" i="5"/>
  <c r="AM127" i="5" s="1"/>
  <c r="BA127" i="5" s="1"/>
  <c r="M127" i="5"/>
  <c r="L127" i="5"/>
  <c r="K127" i="5"/>
  <c r="J127" i="5"/>
  <c r="H127" i="5"/>
  <c r="BZ126" i="5"/>
  <c r="BX126" i="5"/>
  <c r="BO126" i="5"/>
  <c r="BN126" i="5"/>
  <c r="BF126" i="5"/>
  <c r="BE126" i="5"/>
  <c r="AL126" i="5"/>
  <c r="AV126" i="5" s="1"/>
  <c r="AK126" i="5"/>
  <c r="AW126" i="5" s="1"/>
  <c r="AJ126" i="5"/>
  <c r="AI126" i="5"/>
  <c r="AU126" i="5" s="1"/>
  <c r="AH126" i="5"/>
  <c r="M126" i="5"/>
  <c r="AT126" i="5" s="1"/>
  <c r="L126" i="5"/>
  <c r="K126" i="5"/>
  <c r="J126" i="5"/>
  <c r="H126" i="5"/>
  <c r="BZ125" i="5"/>
  <c r="BX125" i="5"/>
  <c r="BO125" i="5"/>
  <c r="BN125" i="5"/>
  <c r="BF125" i="5"/>
  <c r="BE125" i="5"/>
  <c r="AW125" i="5"/>
  <c r="AV125" i="5"/>
  <c r="AU125" i="5"/>
  <c r="AT125" i="5"/>
  <c r="AL125" i="5"/>
  <c r="AK125" i="5"/>
  <c r="AJ125" i="5"/>
  <c r="AI125" i="5"/>
  <c r="AH125" i="5"/>
  <c r="AM125" i="5" s="1"/>
  <c r="BA125" i="5" s="1"/>
  <c r="M125" i="5"/>
  <c r="L125" i="5"/>
  <c r="K125" i="5"/>
  <c r="J125" i="5"/>
  <c r="H125" i="5"/>
  <c r="BZ124" i="5"/>
  <c r="BX124" i="5"/>
  <c r="BO124" i="5"/>
  <c r="BN124" i="5"/>
  <c r="BF124" i="5"/>
  <c r="BE124" i="5"/>
  <c r="BA124" i="5"/>
  <c r="AU124" i="5"/>
  <c r="AT124" i="5"/>
  <c r="AM124" i="5"/>
  <c r="AL124" i="5"/>
  <c r="AV124" i="5" s="1"/>
  <c r="AW124" i="5" s="1"/>
  <c r="AK124" i="5"/>
  <c r="AJ124" i="5"/>
  <c r="AI124" i="5"/>
  <c r="AH124" i="5"/>
  <c r="M124" i="5"/>
  <c r="L124" i="5"/>
  <c r="K124" i="5"/>
  <c r="J124" i="5"/>
  <c r="H124" i="5"/>
  <c r="BZ123" i="5"/>
  <c r="BX123" i="5"/>
  <c r="BO123" i="5"/>
  <c r="BN123" i="5"/>
  <c r="BF123" i="5"/>
  <c r="BE123" i="5"/>
  <c r="BA123" i="5"/>
  <c r="AV123" i="5"/>
  <c r="AT123" i="5"/>
  <c r="AL123" i="5"/>
  <c r="AK123" i="5"/>
  <c r="AJ123" i="5"/>
  <c r="AI123" i="5"/>
  <c r="AU123" i="5" s="1"/>
  <c r="AH123" i="5"/>
  <c r="AM123" i="5" s="1"/>
  <c r="M123" i="5"/>
  <c r="L123" i="5"/>
  <c r="K123" i="5"/>
  <c r="J123" i="5"/>
  <c r="H123" i="5"/>
  <c r="BZ122" i="5"/>
  <c r="BX122" i="5"/>
  <c r="BO122" i="5"/>
  <c r="BN122" i="5"/>
  <c r="BF122" i="5"/>
  <c r="BE122" i="5"/>
  <c r="AV122" i="5"/>
  <c r="AW122" i="5" s="1"/>
  <c r="AT122" i="5"/>
  <c r="AM122" i="5"/>
  <c r="BA122" i="5" s="1"/>
  <c r="AL122" i="5"/>
  <c r="AK122" i="5"/>
  <c r="AJ122" i="5"/>
  <c r="AI122" i="5"/>
  <c r="AU122" i="5" s="1"/>
  <c r="AH122" i="5"/>
  <c r="M122" i="5"/>
  <c r="L122" i="5"/>
  <c r="K122" i="5"/>
  <c r="J122" i="5"/>
  <c r="H122" i="5"/>
  <c r="BZ121" i="5"/>
  <c r="BX121" i="5"/>
  <c r="BO121" i="5"/>
  <c r="BN121" i="5"/>
  <c r="BF121" i="5"/>
  <c r="BE121" i="5"/>
  <c r="BA121" i="5"/>
  <c r="AV121" i="5"/>
  <c r="AL121" i="5"/>
  <c r="AK121" i="5"/>
  <c r="AJ121" i="5"/>
  <c r="AI121" i="5"/>
  <c r="AU121" i="5" s="1"/>
  <c r="AH121" i="5"/>
  <c r="AM121" i="5" s="1"/>
  <c r="M121" i="5"/>
  <c r="AT121" i="5" s="1"/>
  <c r="L121" i="5"/>
  <c r="K121" i="5"/>
  <c r="J121" i="5"/>
  <c r="H121" i="5"/>
  <c r="BZ120" i="5"/>
  <c r="BX120" i="5"/>
  <c r="BO120" i="5"/>
  <c r="BN120" i="5"/>
  <c r="BF120" i="5"/>
  <c r="BE120" i="5"/>
  <c r="AV120" i="5"/>
  <c r="AL120" i="5"/>
  <c r="AK120" i="5"/>
  <c r="AW120" i="5" s="1"/>
  <c r="AJ120" i="5"/>
  <c r="AI120" i="5"/>
  <c r="AU120" i="5" s="1"/>
  <c r="AH120" i="5"/>
  <c r="M120" i="5"/>
  <c r="AT120" i="5" s="1"/>
  <c r="L120" i="5"/>
  <c r="K120" i="5"/>
  <c r="J120" i="5"/>
  <c r="H120" i="5"/>
  <c r="BZ119" i="5"/>
  <c r="BX119" i="5"/>
  <c r="BO119" i="5"/>
  <c r="BN119" i="5"/>
  <c r="BF119" i="5"/>
  <c r="BE119" i="5"/>
  <c r="AU119" i="5"/>
  <c r="AT119" i="5"/>
  <c r="AL119" i="5"/>
  <c r="AV119" i="5" s="1"/>
  <c r="AW119" i="5" s="1"/>
  <c r="AK119" i="5"/>
  <c r="AJ119" i="5"/>
  <c r="AI119" i="5"/>
  <c r="AH119" i="5"/>
  <c r="M119" i="5"/>
  <c r="L119" i="5"/>
  <c r="K119" i="5"/>
  <c r="J119" i="5"/>
  <c r="H119" i="5"/>
  <c r="BZ118" i="5"/>
  <c r="BX118" i="5"/>
  <c r="BO118" i="5"/>
  <c r="BN118" i="5"/>
  <c r="BF118" i="5"/>
  <c r="BE118" i="5"/>
  <c r="AT118" i="5"/>
  <c r="AM118" i="5"/>
  <c r="BA118" i="5" s="1"/>
  <c r="AL118" i="5"/>
  <c r="AV118" i="5" s="1"/>
  <c r="AW118" i="5" s="1"/>
  <c r="AK118" i="5"/>
  <c r="AJ118" i="5"/>
  <c r="AI118" i="5"/>
  <c r="AU118" i="5" s="1"/>
  <c r="AH118" i="5"/>
  <c r="M118" i="5"/>
  <c r="L118" i="5"/>
  <c r="K118" i="5"/>
  <c r="J118" i="5"/>
  <c r="H118" i="5"/>
  <c r="BZ117" i="5"/>
  <c r="BX117" i="5"/>
  <c r="BO117" i="5"/>
  <c r="BN117" i="5"/>
  <c r="BF117" i="5"/>
  <c r="BE117" i="5"/>
  <c r="AT117" i="5"/>
  <c r="AM117" i="5"/>
  <c r="BA117" i="5" s="1"/>
  <c r="AL117" i="5"/>
  <c r="AV117" i="5" s="1"/>
  <c r="AW117" i="5" s="1"/>
  <c r="AK117" i="5"/>
  <c r="AJ117" i="5"/>
  <c r="AI117" i="5"/>
  <c r="AU117" i="5" s="1"/>
  <c r="AH117" i="5"/>
  <c r="M117" i="5"/>
  <c r="L117" i="5"/>
  <c r="K117" i="5"/>
  <c r="J117" i="5"/>
  <c r="H117" i="5"/>
  <c r="BZ116" i="5"/>
  <c r="BX116" i="5"/>
  <c r="BO116" i="5"/>
  <c r="BN116" i="5"/>
  <c r="BF116" i="5"/>
  <c r="BE116" i="5"/>
  <c r="AU116" i="5"/>
  <c r="AM116" i="5"/>
  <c r="BA116" i="5" s="1"/>
  <c r="AL116" i="5"/>
  <c r="AV116" i="5" s="1"/>
  <c r="AW116" i="5" s="1"/>
  <c r="AK116" i="5"/>
  <c r="AJ116" i="5"/>
  <c r="AI116" i="5"/>
  <c r="AH116" i="5"/>
  <c r="M116" i="5"/>
  <c r="AT116" i="5" s="1"/>
  <c r="L116" i="5"/>
  <c r="K116" i="5"/>
  <c r="J116" i="5"/>
  <c r="H116" i="5"/>
  <c r="BZ115" i="5"/>
  <c r="BX115" i="5"/>
  <c r="BO115" i="5"/>
  <c r="BN115" i="5"/>
  <c r="BF115" i="5"/>
  <c r="BE115" i="5"/>
  <c r="AW115" i="5"/>
  <c r="AV115" i="5"/>
  <c r="AT115" i="5"/>
  <c r="AL115" i="5"/>
  <c r="AK115" i="5"/>
  <c r="AJ115" i="5"/>
  <c r="AI115" i="5"/>
  <c r="AU115" i="5" s="1"/>
  <c r="AH115" i="5"/>
  <c r="AM115" i="5" s="1"/>
  <c r="BA115" i="5" s="1"/>
  <c r="M115" i="5"/>
  <c r="L115" i="5"/>
  <c r="K115" i="5"/>
  <c r="J115" i="5"/>
  <c r="H115" i="5"/>
  <c r="BZ114" i="5"/>
  <c r="BX114" i="5"/>
  <c r="BO114" i="5"/>
  <c r="BN114" i="5"/>
  <c r="BF114" i="5"/>
  <c r="BE114" i="5"/>
  <c r="AV114" i="5"/>
  <c r="AW114" i="5" s="1"/>
  <c r="AU114" i="5"/>
  <c r="AM114" i="5"/>
  <c r="BA114" i="5" s="1"/>
  <c r="AL114" i="5"/>
  <c r="AK114" i="5"/>
  <c r="AJ114" i="5"/>
  <c r="AI114" i="5"/>
  <c r="AH114" i="5"/>
  <c r="M114" i="5"/>
  <c r="AT114" i="5" s="1"/>
  <c r="L114" i="5"/>
  <c r="K114" i="5"/>
  <c r="J114" i="5"/>
  <c r="H114" i="5"/>
  <c r="BZ113" i="5"/>
  <c r="BX113" i="5"/>
  <c r="BO113" i="5"/>
  <c r="BN113" i="5"/>
  <c r="BF113" i="5"/>
  <c r="BE113" i="5"/>
  <c r="AV113" i="5"/>
  <c r="AW113" i="5" s="1"/>
  <c r="AT113" i="5"/>
  <c r="AM113" i="5"/>
  <c r="BA113" i="5" s="1"/>
  <c r="AL113" i="5"/>
  <c r="AK113" i="5"/>
  <c r="AJ113" i="5"/>
  <c r="AI113" i="5"/>
  <c r="AU113" i="5" s="1"/>
  <c r="AH113" i="5"/>
  <c r="M113" i="5"/>
  <c r="L113" i="5"/>
  <c r="K113" i="5"/>
  <c r="J113" i="5"/>
  <c r="H113" i="5"/>
  <c r="BZ112" i="5"/>
  <c r="BX112" i="5"/>
  <c r="BO112" i="5"/>
  <c r="BN112" i="5"/>
  <c r="BF112" i="5"/>
  <c r="BE112" i="5"/>
  <c r="AW112" i="5"/>
  <c r="AV112" i="5"/>
  <c r="AL112" i="5"/>
  <c r="AK112" i="5"/>
  <c r="AJ112" i="5"/>
  <c r="AI112" i="5"/>
  <c r="AU112" i="5" s="1"/>
  <c r="AH112" i="5"/>
  <c r="M112" i="5"/>
  <c r="AT112" i="5" s="1"/>
  <c r="L112" i="5"/>
  <c r="K112" i="5"/>
  <c r="J112" i="5"/>
  <c r="H112" i="5"/>
  <c r="BZ111" i="5"/>
  <c r="BX111" i="5"/>
  <c r="BO111" i="5"/>
  <c r="BN111" i="5"/>
  <c r="BF111" i="5"/>
  <c r="BE111" i="5"/>
  <c r="AV111" i="5"/>
  <c r="AU111" i="5"/>
  <c r="AT111" i="5"/>
  <c r="AL111" i="5"/>
  <c r="AK111" i="5"/>
  <c r="AJ111" i="5"/>
  <c r="AI111" i="5"/>
  <c r="AH111" i="5"/>
  <c r="M111" i="5"/>
  <c r="L111" i="5"/>
  <c r="K111" i="5"/>
  <c r="J111" i="5"/>
  <c r="H111" i="5"/>
  <c r="BZ110" i="5"/>
  <c r="BX110" i="5"/>
  <c r="BO110" i="5"/>
  <c r="BN110" i="5"/>
  <c r="BF110" i="5"/>
  <c r="BE110" i="5"/>
  <c r="AL110" i="5"/>
  <c r="AV110" i="5" s="1"/>
  <c r="AK110" i="5"/>
  <c r="AJ110" i="5"/>
  <c r="AI110" i="5"/>
  <c r="AU110" i="5" s="1"/>
  <c r="AH110" i="5"/>
  <c r="AM110" i="5" s="1"/>
  <c r="BA110" i="5" s="1"/>
  <c r="M110" i="5"/>
  <c r="AT110" i="5" s="1"/>
  <c r="L110" i="5"/>
  <c r="K110" i="5"/>
  <c r="J110" i="5"/>
  <c r="H110" i="5"/>
  <c r="BZ109" i="5"/>
  <c r="BX109" i="5"/>
  <c r="BO109" i="5"/>
  <c r="BN109" i="5"/>
  <c r="BF109" i="5"/>
  <c r="BE109" i="5"/>
  <c r="AW109" i="5"/>
  <c r="AV109" i="5"/>
  <c r="AU109" i="5"/>
  <c r="AT109" i="5"/>
  <c r="AL109" i="5"/>
  <c r="AK109" i="5"/>
  <c r="AJ109" i="5"/>
  <c r="AI109" i="5"/>
  <c r="AH109" i="5"/>
  <c r="AM109" i="5" s="1"/>
  <c r="BA109" i="5" s="1"/>
  <c r="M109" i="5"/>
  <c r="L109" i="5"/>
  <c r="K109" i="5"/>
  <c r="J109" i="5"/>
  <c r="H109" i="5"/>
  <c r="BZ108" i="5"/>
  <c r="BX108" i="5"/>
  <c r="BO108" i="5"/>
  <c r="BN108" i="5"/>
  <c r="BF108" i="5"/>
  <c r="BE108" i="5"/>
  <c r="AW108" i="5"/>
  <c r="AU108" i="5"/>
  <c r="AT108" i="5"/>
  <c r="AM108" i="5"/>
  <c r="BA108" i="5" s="1"/>
  <c r="AL108" i="5"/>
  <c r="AV108" i="5" s="1"/>
  <c r="AK108" i="5"/>
  <c r="AJ108" i="5"/>
  <c r="AI108" i="5"/>
  <c r="AH108" i="5"/>
  <c r="M108" i="5"/>
  <c r="L108" i="5"/>
  <c r="K108" i="5"/>
  <c r="J108" i="5"/>
  <c r="H108" i="5"/>
  <c r="BZ107" i="5"/>
  <c r="BX107" i="5"/>
  <c r="BO107" i="5"/>
  <c r="BN107" i="5"/>
  <c r="BF107" i="5"/>
  <c r="BE107" i="5"/>
  <c r="BA107" i="5"/>
  <c r="AV107" i="5"/>
  <c r="AL107" i="5"/>
  <c r="AK107" i="5"/>
  <c r="AJ107" i="5"/>
  <c r="AI107" i="5"/>
  <c r="AU107" i="5" s="1"/>
  <c r="AH107" i="5"/>
  <c r="AM107" i="5" s="1"/>
  <c r="M107" i="5"/>
  <c r="AT107" i="5" s="1"/>
  <c r="L107" i="5"/>
  <c r="K107" i="5"/>
  <c r="J107" i="5"/>
  <c r="H107" i="5"/>
  <c r="BZ106" i="5"/>
  <c r="BX106" i="5"/>
  <c r="BO106" i="5"/>
  <c r="BN106" i="5"/>
  <c r="BF106" i="5"/>
  <c r="BE106" i="5"/>
  <c r="BA106" i="5"/>
  <c r="AM106" i="5"/>
  <c r="AL106" i="5"/>
  <c r="AV106" i="5" s="1"/>
  <c r="AW106" i="5" s="1"/>
  <c r="AK106" i="5"/>
  <c r="AJ106" i="5"/>
  <c r="AI106" i="5"/>
  <c r="AU106" i="5" s="1"/>
  <c r="AH106" i="5"/>
  <c r="M106" i="5"/>
  <c r="AT106" i="5" s="1"/>
  <c r="L106" i="5"/>
  <c r="K106" i="5"/>
  <c r="J106" i="5"/>
  <c r="H106" i="5"/>
  <c r="BZ105" i="5"/>
  <c r="BX105" i="5"/>
  <c r="BO105" i="5"/>
  <c r="BN105" i="5"/>
  <c r="BF105" i="5"/>
  <c r="BE105" i="5"/>
  <c r="AV105" i="5"/>
  <c r="AW105" i="5" s="1"/>
  <c r="AT105" i="5"/>
  <c r="AM105" i="5"/>
  <c r="BA105" i="5" s="1"/>
  <c r="AL105" i="5"/>
  <c r="AK105" i="5"/>
  <c r="AJ105" i="5"/>
  <c r="AI105" i="5"/>
  <c r="AU105" i="5" s="1"/>
  <c r="AH105" i="5"/>
  <c r="M105" i="5"/>
  <c r="L105" i="5"/>
  <c r="K105" i="5"/>
  <c r="J105" i="5"/>
  <c r="H105" i="5"/>
  <c r="BZ104" i="5"/>
  <c r="BX104" i="5"/>
  <c r="BO104" i="5"/>
  <c r="BN104" i="5"/>
  <c r="BF104" i="5"/>
  <c r="BE104" i="5"/>
  <c r="AV104" i="5"/>
  <c r="AW104" i="5" s="1"/>
  <c r="AM104" i="5"/>
  <c r="BA104" i="5" s="1"/>
  <c r="AL104" i="5"/>
  <c r="AK104" i="5"/>
  <c r="AJ104" i="5"/>
  <c r="AI104" i="5"/>
  <c r="AU104" i="5" s="1"/>
  <c r="AH104" i="5"/>
  <c r="M104" i="5"/>
  <c r="AT104" i="5" s="1"/>
  <c r="L104" i="5"/>
  <c r="K104" i="5"/>
  <c r="J104" i="5"/>
  <c r="H104" i="5"/>
  <c r="BZ103" i="5"/>
  <c r="BX103" i="5"/>
  <c r="BO103" i="5"/>
  <c r="BN103" i="5"/>
  <c r="BF103" i="5"/>
  <c r="BE103" i="5"/>
  <c r="AM103" i="5"/>
  <c r="BA103" i="5" s="1"/>
  <c r="AL103" i="5"/>
  <c r="AV103" i="5" s="1"/>
  <c r="AK103" i="5"/>
  <c r="AW103" i="5" s="1"/>
  <c r="AJ103" i="5"/>
  <c r="AI103" i="5"/>
  <c r="AU103" i="5" s="1"/>
  <c r="AH103" i="5"/>
  <c r="M103" i="5"/>
  <c r="AT103" i="5" s="1"/>
  <c r="L103" i="5"/>
  <c r="K103" i="5"/>
  <c r="J103" i="5"/>
  <c r="H103" i="5"/>
  <c r="BZ102" i="5"/>
  <c r="BX102" i="5"/>
  <c r="BO102" i="5"/>
  <c r="BN102" i="5"/>
  <c r="BF102" i="5"/>
  <c r="BE102" i="5"/>
  <c r="AU102" i="5"/>
  <c r="AM102" i="5"/>
  <c r="BA102" i="5" s="1"/>
  <c r="AL102" i="5"/>
  <c r="AV102" i="5" s="1"/>
  <c r="AW102" i="5" s="1"/>
  <c r="AK102" i="5"/>
  <c r="AJ102" i="5"/>
  <c r="AI102" i="5"/>
  <c r="AH102" i="5"/>
  <c r="M102" i="5"/>
  <c r="AT102" i="5" s="1"/>
  <c r="L102" i="5"/>
  <c r="K102" i="5"/>
  <c r="J102" i="5"/>
  <c r="H102" i="5"/>
  <c r="BZ101" i="5"/>
  <c r="BX101" i="5"/>
  <c r="BO101" i="5"/>
  <c r="BN101" i="5"/>
  <c r="BF101" i="5"/>
  <c r="BE101" i="5"/>
  <c r="AV101" i="5"/>
  <c r="AW101" i="5" s="1"/>
  <c r="AU101" i="5"/>
  <c r="AM101" i="5"/>
  <c r="BA101" i="5" s="1"/>
  <c r="AL101" i="5"/>
  <c r="AK101" i="5"/>
  <c r="AJ101" i="5"/>
  <c r="AI101" i="5"/>
  <c r="AH101" i="5"/>
  <c r="M101" i="5"/>
  <c r="AT101" i="5" s="1"/>
  <c r="L101" i="5"/>
  <c r="K101" i="5"/>
  <c r="J101" i="5"/>
  <c r="H101" i="5"/>
  <c r="BZ100" i="5"/>
  <c r="BX100" i="5"/>
  <c r="BO100" i="5"/>
  <c r="BN100" i="5"/>
  <c r="BF100" i="5"/>
  <c r="BE100" i="5"/>
  <c r="AM100" i="5"/>
  <c r="BA100" i="5" s="1"/>
  <c r="AL100" i="5"/>
  <c r="AV100" i="5" s="1"/>
  <c r="AW100" i="5" s="1"/>
  <c r="AK100" i="5"/>
  <c r="AJ100" i="5"/>
  <c r="AI100" i="5"/>
  <c r="AU100" i="5" s="1"/>
  <c r="AH100" i="5"/>
  <c r="M100" i="5"/>
  <c r="AT100" i="5" s="1"/>
  <c r="L100" i="5"/>
  <c r="K100" i="5"/>
  <c r="J100" i="5"/>
  <c r="H100" i="5"/>
  <c r="BZ99" i="5"/>
  <c r="BX99" i="5"/>
  <c r="BO99" i="5"/>
  <c r="BN99" i="5"/>
  <c r="BF99" i="5"/>
  <c r="BE99" i="5"/>
  <c r="AU99" i="5"/>
  <c r="AM99" i="5"/>
  <c r="BA99" i="5" s="1"/>
  <c r="AL99" i="5"/>
  <c r="AV99" i="5" s="1"/>
  <c r="AW99" i="5" s="1"/>
  <c r="AK99" i="5"/>
  <c r="AJ99" i="5"/>
  <c r="AI99" i="5"/>
  <c r="AH99" i="5"/>
  <c r="M99" i="5"/>
  <c r="AT99" i="5" s="1"/>
  <c r="L99" i="5"/>
  <c r="K99" i="5"/>
  <c r="J99" i="5"/>
  <c r="H99" i="5"/>
  <c r="BZ98" i="5"/>
  <c r="BX98" i="5"/>
  <c r="BO98" i="5"/>
  <c r="BN98" i="5"/>
  <c r="BF98" i="5"/>
  <c r="BE98" i="5"/>
  <c r="AL98" i="5"/>
  <c r="AV98" i="5" s="1"/>
  <c r="AW98" i="5" s="1"/>
  <c r="AK98" i="5"/>
  <c r="AJ98" i="5"/>
  <c r="AI98" i="5"/>
  <c r="AU98" i="5" s="1"/>
  <c r="AH98" i="5"/>
  <c r="AM98" i="5" s="1"/>
  <c r="BA98" i="5" s="1"/>
  <c r="M98" i="5"/>
  <c r="AT98" i="5" s="1"/>
  <c r="L98" i="5"/>
  <c r="K98" i="5"/>
  <c r="J98" i="5"/>
  <c r="H98" i="5"/>
  <c r="BZ97" i="5"/>
  <c r="BX97" i="5"/>
  <c r="BO97" i="5"/>
  <c r="BN97" i="5"/>
  <c r="BF97" i="5"/>
  <c r="BE97" i="5"/>
  <c r="AU97" i="5"/>
  <c r="AL97" i="5"/>
  <c r="AV97" i="5" s="1"/>
  <c r="AW97" i="5" s="1"/>
  <c r="AK97" i="5"/>
  <c r="AJ97" i="5"/>
  <c r="AI97" i="5"/>
  <c r="AH97" i="5"/>
  <c r="M97" i="5"/>
  <c r="AT97" i="5" s="1"/>
  <c r="L97" i="5"/>
  <c r="K97" i="5"/>
  <c r="J97" i="5"/>
  <c r="H97" i="5"/>
  <c r="BZ96" i="5"/>
  <c r="BX96" i="5"/>
  <c r="BO96" i="5"/>
  <c r="BN96" i="5"/>
  <c r="BF96" i="5"/>
  <c r="BE96" i="5"/>
  <c r="AU96" i="5"/>
  <c r="AM96" i="5"/>
  <c r="BA96" i="5" s="1"/>
  <c r="AL96" i="5"/>
  <c r="AV96" i="5" s="1"/>
  <c r="AK96" i="5"/>
  <c r="AJ96" i="5"/>
  <c r="AI96" i="5"/>
  <c r="AH96" i="5"/>
  <c r="M96" i="5"/>
  <c r="AT96" i="5" s="1"/>
  <c r="L96" i="5"/>
  <c r="K96" i="5"/>
  <c r="J96" i="5"/>
  <c r="H96" i="5"/>
  <c r="BZ95" i="5"/>
  <c r="BX95" i="5"/>
  <c r="BO95" i="5"/>
  <c r="BN95" i="5"/>
  <c r="BF95" i="5"/>
  <c r="BE95" i="5"/>
  <c r="BA95" i="5"/>
  <c r="AV95" i="5"/>
  <c r="AU95" i="5"/>
  <c r="AT95" i="5"/>
  <c r="AL95" i="5"/>
  <c r="AK95" i="5"/>
  <c r="AJ95" i="5"/>
  <c r="AI95" i="5"/>
  <c r="AH95" i="5"/>
  <c r="AM95" i="5" s="1"/>
  <c r="M95" i="5"/>
  <c r="L95" i="5"/>
  <c r="K95" i="5"/>
  <c r="J95" i="5"/>
  <c r="H95" i="5"/>
  <c r="BZ94" i="5"/>
  <c r="BX94" i="5"/>
  <c r="BO94" i="5"/>
  <c r="BN94" i="5"/>
  <c r="BF94" i="5"/>
  <c r="BE94" i="5"/>
  <c r="AV94" i="5"/>
  <c r="AU94" i="5"/>
  <c r="AT94" i="5"/>
  <c r="AM94" i="5"/>
  <c r="BA94" i="5" s="1"/>
  <c r="AL94" i="5"/>
  <c r="AK94" i="5"/>
  <c r="AJ94" i="5"/>
  <c r="AI94" i="5"/>
  <c r="AH94" i="5"/>
  <c r="M94" i="5"/>
  <c r="L94" i="5"/>
  <c r="K94" i="5"/>
  <c r="J94" i="5"/>
  <c r="H94" i="5"/>
  <c r="BZ93" i="5"/>
  <c r="BX93" i="5"/>
  <c r="BO93" i="5"/>
  <c r="BN93" i="5"/>
  <c r="BF93" i="5"/>
  <c r="BE93" i="5"/>
  <c r="AT93" i="5"/>
  <c r="AM93" i="5"/>
  <c r="BA93" i="5" s="1"/>
  <c r="AL93" i="5"/>
  <c r="AV93" i="5" s="1"/>
  <c r="AK93" i="5"/>
  <c r="AJ93" i="5"/>
  <c r="AI93" i="5"/>
  <c r="AU93" i="5" s="1"/>
  <c r="AH93" i="5"/>
  <c r="M93" i="5"/>
  <c r="L93" i="5"/>
  <c r="K93" i="5"/>
  <c r="J93" i="5"/>
  <c r="H93" i="5"/>
  <c r="BZ92" i="5"/>
  <c r="BX92" i="5"/>
  <c r="BO92" i="5"/>
  <c r="BN92" i="5"/>
  <c r="BF92" i="5"/>
  <c r="BE92" i="5"/>
  <c r="AV92" i="5"/>
  <c r="AW92" i="5" s="1"/>
  <c r="AU92" i="5"/>
  <c r="AL92" i="5"/>
  <c r="AK92" i="5"/>
  <c r="AJ92" i="5"/>
  <c r="AI92" i="5"/>
  <c r="AH92" i="5"/>
  <c r="M92" i="5"/>
  <c r="AT92" i="5" s="1"/>
  <c r="L92" i="5"/>
  <c r="K92" i="5"/>
  <c r="J92" i="5"/>
  <c r="H92" i="5"/>
  <c r="BZ91" i="5"/>
  <c r="BX91" i="5"/>
  <c r="BO91" i="5"/>
  <c r="BN91" i="5"/>
  <c r="BF91" i="5"/>
  <c r="BE91" i="5"/>
  <c r="AW91" i="5"/>
  <c r="AV91" i="5"/>
  <c r="AU91" i="5"/>
  <c r="AT91" i="5"/>
  <c r="AM91" i="5"/>
  <c r="BA91" i="5" s="1"/>
  <c r="AL91" i="5"/>
  <c r="AK91" i="5"/>
  <c r="AJ91" i="5"/>
  <c r="AI91" i="5"/>
  <c r="AH91" i="5"/>
  <c r="M91" i="5"/>
  <c r="L91" i="5"/>
  <c r="K91" i="5"/>
  <c r="J91" i="5"/>
  <c r="H91" i="5"/>
  <c r="BZ90" i="5"/>
  <c r="BX90" i="5"/>
  <c r="BO90" i="5"/>
  <c r="BN90" i="5"/>
  <c r="BF90" i="5"/>
  <c r="BE90" i="5"/>
  <c r="AM90" i="5"/>
  <c r="BA90" i="5" s="1"/>
  <c r="AL90" i="5"/>
  <c r="AV90" i="5" s="1"/>
  <c r="AW90" i="5" s="1"/>
  <c r="AK90" i="5"/>
  <c r="AJ90" i="5"/>
  <c r="AI90" i="5"/>
  <c r="AU90" i="5" s="1"/>
  <c r="AH90" i="5"/>
  <c r="M90" i="5"/>
  <c r="AT90" i="5" s="1"/>
  <c r="L90" i="5"/>
  <c r="K90" i="5"/>
  <c r="J90" i="5"/>
  <c r="H90" i="5"/>
  <c r="BZ89" i="5"/>
  <c r="BX89" i="5"/>
  <c r="BO89" i="5"/>
  <c r="BN89" i="5"/>
  <c r="BF89" i="5"/>
  <c r="BE89" i="5"/>
  <c r="AU89" i="5"/>
  <c r="AM89" i="5"/>
  <c r="BA89" i="5" s="1"/>
  <c r="AL89" i="5"/>
  <c r="AV89" i="5" s="1"/>
  <c r="AW89" i="5" s="1"/>
  <c r="AK89" i="5"/>
  <c r="AJ89" i="5"/>
  <c r="AI89" i="5"/>
  <c r="AH89" i="5"/>
  <c r="M89" i="5"/>
  <c r="AT89" i="5" s="1"/>
  <c r="L89" i="5"/>
  <c r="K89" i="5"/>
  <c r="J89" i="5"/>
  <c r="H89" i="5"/>
  <c r="BZ88" i="5"/>
  <c r="BX88" i="5"/>
  <c r="BO88" i="5"/>
  <c r="BN88" i="5"/>
  <c r="BF88" i="5"/>
  <c r="BE88" i="5"/>
  <c r="AT88" i="5"/>
  <c r="AL88" i="5"/>
  <c r="AV88" i="5" s="1"/>
  <c r="AW88" i="5" s="1"/>
  <c r="AK88" i="5"/>
  <c r="AJ88" i="5"/>
  <c r="AI88" i="5"/>
  <c r="AU88" i="5" s="1"/>
  <c r="AH88" i="5"/>
  <c r="M88" i="5"/>
  <c r="L88" i="5"/>
  <c r="K88" i="5"/>
  <c r="J88" i="5"/>
  <c r="H88" i="5"/>
  <c r="BZ87" i="5"/>
  <c r="BX87" i="5"/>
  <c r="BO87" i="5"/>
  <c r="BN87" i="5"/>
  <c r="BF87" i="5"/>
  <c r="BE87" i="5"/>
  <c r="AM87" i="5"/>
  <c r="BA87" i="5" s="1"/>
  <c r="AL87" i="5"/>
  <c r="AV87" i="5" s="1"/>
  <c r="AW87" i="5" s="1"/>
  <c r="AK87" i="5"/>
  <c r="AJ87" i="5"/>
  <c r="AI87" i="5"/>
  <c r="AU87" i="5" s="1"/>
  <c r="AH87" i="5"/>
  <c r="M87" i="5"/>
  <c r="AT87" i="5" s="1"/>
  <c r="L87" i="5"/>
  <c r="K87" i="5"/>
  <c r="J87" i="5"/>
  <c r="H87" i="5"/>
  <c r="BZ86" i="5"/>
  <c r="BX86" i="5"/>
  <c r="BO86" i="5"/>
  <c r="BN86" i="5"/>
  <c r="BF86" i="5"/>
  <c r="BE86" i="5"/>
  <c r="AV86" i="5"/>
  <c r="AW86" i="5" s="1"/>
  <c r="AU86" i="5"/>
  <c r="AM86" i="5"/>
  <c r="BA86" i="5" s="1"/>
  <c r="AL86" i="5"/>
  <c r="AK86" i="5"/>
  <c r="AJ86" i="5"/>
  <c r="AI86" i="5"/>
  <c r="AH86" i="5"/>
  <c r="M86" i="5"/>
  <c r="AT86" i="5" s="1"/>
  <c r="L86" i="5"/>
  <c r="K86" i="5"/>
  <c r="J86" i="5"/>
  <c r="H86" i="5"/>
  <c r="BZ85" i="5"/>
  <c r="BX85" i="5"/>
  <c r="BO85" i="5"/>
  <c r="BN85" i="5"/>
  <c r="BF85" i="5"/>
  <c r="BE85" i="5"/>
  <c r="AT85" i="5"/>
  <c r="AL85" i="5"/>
  <c r="AV85" i="5" s="1"/>
  <c r="AW85" i="5" s="1"/>
  <c r="AK85" i="5"/>
  <c r="AJ85" i="5"/>
  <c r="AI85" i="5"/>
  <c r="AU85" i="5" s="1"/>
  <c r="AH85" i="5"/>
  <c r="M85" i="5"/>
  <c r="L85" i="5"/>
  <c r="K85" i="5"/>
  <c r="J85" i="5"/>
  <c r="H85" i="5"/>
  <c r="BZ84" i="5"/>
  <c r="BX84" i="5"/>
  <c r="BO84" i="5"/>
  <c r="BN84" i="5"/>
  <c r="BF84" i="5"/>
  <c r="BE84" i="5"/>
  <c r="AV84" i="5"/>
  <c r="AW84" i="5" s="1"/>
  <c r="AU84" i="5"/>
  <c r="AM84" i="5"/>
  <c r="BA84" i="5" s="1"/>
  <c r="AL84" i="5"/>
  <c r="AK84" i="5"/>
  <c r="AJ84" i="5"/>
  <c r="AI84" i="5"/>
  <c r="AH84" i="5"/>
  <c r="M84" i="5"/>
  <c r="AT84" i="5" s="1"/>
  <c r="L84" i="5"/>
  <c r="K84" i="5"/>
  <c r="J84" i="5"/>
  <c r="H84" i="5"/>
  <c r="BZ83" i="5"/>
  <c r="BX83" i="5"/>
  <c r="BO83" i="5"/>
  <c r="BN83" i="5"/>
  <c r="BF83" i="5"/>
  <c r="BE83" i="5"/>
  <c r="AU83" i="5"/>
  <c r="AT83" i="5"/>
  <c r="AM83" i="5"/>
  <c r="BA83" i="5" s="1"/>
  <c r="AL83" i="5"/>
  <c r="AV83" i="5" s="1"/>
  <c r="AW83" i="5" s="1"/>
  <c r="AK83" i="5"/>
  <c r="AJ83" i="5"/>
  <c r="AI83" i="5"/>
  <c r="AH83" i="5"/>
  <c r="M83" i="5"/>
  <c r="L83" i="5"/>
  <c r="K83" i="5"/>
  <c r="J83" i="5"/>
  <c r="H83" i="5"/>
  <c r="BZ82" i="5"/>
  <c r="BX82" i="5"/>
  <c r="BO82" i="5"/>
  <c r="BN82" i="5"/>
  <c r="BF82" i="5"/>
  <c r="BE82" i="5"/>
  <c r="BA82" i="5"/>
  <c r="AW82" i="5"/>
  <c r="AV82" i="5"/>
  <c r="AT82" i="5"/>
  <c r="AL82" i="5"/>
  <c r="AK82" i="5"/>
  <c r="AJ82" i="5"/>
  <c r="AI82" i="5"/>
  <c r="AU82" i="5" s="1"/>
  <c r="AH82" i="5"/>
  <c r="AM82" i="5" s="1"/>
  <c r="M82" i="5"/>
  <c r="L82" i="5"/>
  <c r="K82" i="5"/>
  <c r="J82" i="5"/>
  <c r="H82" i="5"/>
  <c r="BZ81" i="5"/>
  <c r="BX81" i="5"/>
  <c r="BO81" i="5"/>
  <c r="BN81" i="5"/>
  <c r="BF81" i="5"/>
  <c r="BE81" i="5"/>
  <c r="AU81" i="5"/>
  <c r="AT81" i="5"/>
  <c r="AM81" i="5"/>
  <c r="BA81" i="5" s="1"/>
  <c r="AL81" i="5"/>
  <c r="AV81" i="5" s="1"/>
  <c r="AK81" i="5"/>
  <c r="AJ81" i="5"/>
  <c r="AI81" i="5"/>
  <c r="AH81" i="5"/>
  <c r="M81" i="5"/>
  <c r="L81" i="5"/>
  <c r="K81" i="5"/>
  <c r="J81" i="5"/>
  <c r="H81" i="5"/>
  <c r="BZ80" i="5"/>
  <c r="BX80" i="5"/>
  <c r="BO80" i="5"/>
  <c r="BN80" i="5"/>
  <c r="BF80" i="5"/>
  <c r="BE80" i="5"/>
  <c r="BA80" i="5"/>
  <c r="AU80" i="5"/>
  <c r="AT80" i="5"/>
  <c r="AM80" i="5"/>
  <c r="AL80" i="5"/>
  <c r="AV80" i="5" s="1"/>
  <c r="AW80" i="5" s="1"/>
  <c r="AK80" i="5"/>
  <c r="AJ80" i="5"/>
  <c r="AI80" i="5"/>
  <c r="AH80" i="5"/>
  <c r="M80" i="5"/>
  <c r="L80" i="5"/>
  <c r="K80" i="5"/>
  <c r="J80" i="5"/>
  <c r="H80" i="5"/>
  <c r="BZ79" i="5"/>
  <c r="BX79" i="5"/>
  <c r="BO79" i="5"/>
  <c r="BN79" i="5"/>
  <c r="BF79" i="5"/>
  <c r="BE79" i="5"/>
  <c r="BA79" i="5"/>
  <c r="AT79" i="5"/>
  <c r="AL79" i="5"/>
  <c r="AV79" i="5" s="1"/>
  <c r="AW79" i="5" s="1"/>
  <c r="AK79" i="5"/>
  <c r="AJ79" i="5"/>
  <c r="AI79" i="5"/>
  <c r="AU79" i="5" s="1"/>
  <c r="AH79" i="5"/>
  <c r="AM79" i="5" s="1"/>
  <c r="M79" i="5"/>
  <c r="L79" i="5"/>
  <c r="K79" i="5"/>
  <c r="J79" i="5"/>
  <c r="H79" i="5"/>
  <c r="BZ78" i="5"/>
  <c r="BX78" i="5"/>
  <c r="BO78" i="5"/>
  <c r="BN78" i="5"/>
  <c r="BF78" i="5"/>
  <c r="BE78" i="5"/>
  <c r="AV78" i="5"/>
  <c r="AW78" i="5" s="1"/>
  <c r="AL78" i="5"/>
  <c r="AK78" i="5"/>
  <c r="AJ78" i="5"/>
  <c r="AI78" i="5"/>
  <c r="AU78" i="5" s="1"/>
  <c r="AH78" i="5"/>
  <c r="AM78" i="5" s="1"/>
  <c r="BA78" i="5" s="1"/>
  <c r="M78" i="5"/>
  <c r="AT78" i="5" s="1"/>
  <c r="L78" i="5"/>
  <c r="K78" i="5"/>
  <c r="J78" i="5"/>
  <c r="H78" i="5"/>
  <c r="BZ77" i="5"/>
  <c r="BX77" i="5"/>
  <c r="BO77" i="5"/>
  <c r="BN77" i="5"/>
  <c r="BF77" i="5"/>
  <c r="BE77" i="5"/>
  <c r="AL77" i="5"/>
  <c r="AV77" i="5" s="1"/>
  <c r="AW77" i="5" s="1"/>
  <c r="AK77" i="5"/>
  <c r="AJ77" i="5"/>
  <c r="AI77" i="5"/>
  <c r="AU77" i="5" s="1"/>
  <c r="AH77" i="5"/>
  <c r="AM77" i="5" s="1"/>
  <c r="BA77" i="5" s="1"/>
  <c r="M77" i="5"/>
  <c r="AT77" i="5" s="1"/>
  <c r="L77" i="5"/>
  <c r="K77" i="5"/>
  <c r="J77" i="5"/>
  <c r="H77" i="5"/>
  <c r="BZ76" i="5"/>
  <c r="BX76" i="5"/>
  <c r="BO76" i="5"/>
  <c r="BN76" i="5"/>
  <c r="BF76" i="5"/>
  <c r="BE76" i="5"/>
  <c r="BA76" i="5"/>
  <c r="AL76" i="5"/>
  <c r="AV76" i="5" s="1"/>
  <c r="AK76" i="5"/>
  <c r="AJ76" i="5"/>
  <c r="AI76" i="5"/>
  <c r="AU76" i="5" s="1"/>
  <c r="AH76" i="5"/>
  <c r="AM76" i="5" s="1"/>
  <c r="M76" i="5"/>
  <c r="AT76" i="5" s="1"/>
  <c r="L76" i="5"/>
  <c r="K76" i="5"/>
  <c r="J76" i="5"/>
  <c r="H76" i="5"/>
  <c r="BZ75" i="5"/>
  <c r="BX75" i="5"/>
  <c r="BO75" i="5"/>
  <c r="BN75" i="5"/>
  <c r="BF75" i="5"/>
  <c r="BE75" i="5"/>
  <c r="AV75" i="5"/>
  <c r="AW75" i="5" s="1"/>
  <c r="AM75" i="5"/>
  <c r="BA75" i="5" s="1"/>
  <c r="AL75" i="5"/>
  <c r="AK75" i="5"/>
  <c r="AJ75" i="5"/>
  <c r="AI75" i="5"/>
  <c r="AU75" i="5" s="1"/>
  <c r="AH75" i="5"/>
  <c r="M75" i="5"/>
  <c r="AT75" i="5" s="1"/>
  <c r="L75" i="5"/>
  <c r="K75" i="5"/>
  <c r="J75" i="5"/>
  <c r="H75" i="5"/>
  <c r="BZ74" i="5"/>
  <c r="BX74" i="5"/>
  <c r="BO74" i="5"/>
  <c r="BN74" i="5"/>
  <c r="BF74" i="5"/>
  <c r="BE74" i="5"/>
  <c r="AW74" i="5"/>
  <c r="AV74" i="5"/>
  <c r="AU74" i="5"/>
  <c r="AM74" i="5"/>
  <c r="BA74" i="5" s="1"/>
  <c r="AL74" i="5"/>
  <c r="AK74" i="5"/>
  <c r="AJ74" i="5"/>
  <c r="AI74" i="5"/>
  <c r="AH74" i="5"/>
  <c r="M74" i="5"/>
  <c r="AT74" i="5" s="1"/>
  <c r="L74" i="5"/>
  <c r="K74" i="5"/>
  <c r="J74" i="5"/>
  <c r="H74" i="5"/>
  <c r="BZ73" i="5"/>
  <c r="BX73" i="5"/>
  <c r="BO73" i="5"/>
  <c r="BN73" i="5"/>
  <c r="BF73" i="5"/>
  <c r="BE73" i="5"/>
  <c r="AM73" i="5"/>
  <c r="BA73" i="5" s="1"/>
  <c r="AL73" i="5"/>
  <c r="AV73" i="5" s="1"/>
  <c r="AW73" i="5" s="1"/>
  <c r="AK73" i="5"/>
  <c r="AJ73" i="5"/>
  <c r="AI73" i="5"/>
  <c r="AU73" i="5" s="1"/>
  <c r="AH73" i="5"/>
  <c r="M73" i="5"/>
  <c r="AT73" i="5" s="1"/>
  <c r="L73" i="5"/>
  <c r="K73" i="5"/>
  <c r="J73" i="5"/>
  <c r="H73" i="5"/>
  <c r="BZ72" i="5"/>
  <c r="BX72" i="5"/>
  <c r="BO72" i="5"/>
  <c r="BN72" i="5"/>
  <c r="BF72" i="5"/>
  <c r="BE72" i="5"/>
  <c r="AW72" i="5"/>
  <c r="AV72" i="5"/>
  <c r="AU72" i="5"/>
  <c r="AT72" i="5"/>
  <c r="AL72" i="5"/>
  <c r="AK72" i="5"/>
  <c r="AJ72" i="5"/>
  <c r="AI72" i="5"/>
  <c r="AH72" i="5"/>
  <c r="M72" i="5"/>
  <c r="L72" i="5"/>
  <c r="K72" i="5"/>
  <c r="J72" i="5"/>
  <c r="H72" i="5"/>
  <c r="BZ71" i="5"/>
  <c r="BX71" i="5"/>
  <c r="BO71" i="5"/>
  <c r="BN71" i="5"/>
  <c r="BF71" i="5"/>
  <c r="BE71" i="5"/>
  <c r="BA71" i="5"/>
  <c r="AU71" i="5"/>
  <c r="AL71" i="5"/>
  <c r="AV71" i="5" s="1"/>
  <c r="AK71" i="5"/>
  <c r="AJ71" i="5"/>
  <c r="AI71" i="5"/>
  <c r="AH71" i="5"/>
  <c r="AM71" i="5" s="1"/>
  <c r="M71" i="5"/>
  <c r="AT71" i="5" s="1"/>
  <c r="L71" i="5"/>
  <c r="K71" i="5"/>
  <c r="J71" i="5"/>
  <c r="H71" i="5"/>
  <c r="BZ70" i="5"/>
  <c r="BX70" i="5"/>
  <c r="BO70" i="5"/>
  <c r="BN70" i="5"/>
  <c r="BF70" i="5"/>
  <c r="BE70" i="5"/>
  <c r="BA70" i="5"/>
  <c r="AL70" i="5"/>
  <c r="AV70" i="5" s="1"/>
  <c r="AW70" i="5" s="1"/>
  <c r="AK70" i="5"/>
  <c r="AJ70" i="5"/>
  <c r="AI70" i="5"/>
  <c r="AU70" i="5" s="1"/>
  <c r="AH70" i="5"/>
  <c r="AM70" i="5" s="1"/>
  <c r="M70" i="5"/>
  <c r="AT70" i="5" s="1"/>
  <c r="L70" i="5"/>
  <c r="K70" i="5"/>
  <c r="J70" i="5"/>
  <c r="H70" i="5"/>
  <c r="BZ69" i="5"/>
  <c r="BX69" i="5"/>
  <c r="BO69" i="5"/>
  <c r="BN69" i="5"/>
  <c r="BF69" i="5"/>
  <c r="BE69" i="5"/>
  <c r="BA69" i="5"/>
  <c r="AU69" i="5"/>
  <c r="AM69" i="5"/>
  <c r="AL69" i="5"/>
  <c r="AV69" i="5" s="1"/>
  <c r="AW69" i="5" s="1"/>
  <c r="AK69" i="5"/>
  <c r="AJ69" i="5"/>
  <c r="AI69" i="5"/>
  <c r="AH69" i="5"/>
  <c r="M69" i="5"/>
  <c r="AT69" i="5" s="1"/>
  <c r="L69" i="5"/>
  <c r="K69" i="5"/>
  <c r="J69" i="5"/>
  <c r="H69" i="5"/>
  <c r="BZ68" i="5"/>
  <c r="BX68" i="5"/>
  <c r="BO68" i="5"/>
  <c r="BN68" i="5"/>
  <c r="BF68" i="5"/>
  <c r="BE68" i="5"/>
  <c r="BA68" i="5"/>
  <c r="AU68" i="5"/>
  <c r="AT68" i="5"/>
  <c r="AL68" i="5"/>
  <c r="AV68" i="5" s="1"/>
  <c r="AK68" i="5"/>
  <c r="AJ68" i="5"/>
  <c r="AI68" i="5"/>
  <c r="AH68" i="5"/>
  <c r="AM68" i="5" s="1"/>
  <c r="M68" i="5"/>
  <c r="L68" i="5"/>
  <c r="K68" i="5"/>
  <c r="J68" i="5"/>
  <c r="H68" i="5"/>
  <c r="BZ67" i="5"/>
  <c r="BX67" i="5"/>
  <c r="BO67" i="5"/>
  <c r="BN67" i="5"/>
  <c r="BF67" i="5"/>
  <c r="BE67" i="5"/>
  <c r="AV67" i="5"/>
  <c r="AW67" i="5" s="1"/>
  <c r="AU67" i="5"/>
  <c r="AM67" i="5"/>
  <c r="BA67" i="5" s="1"/>
  <c r="AL67" i="5"/>
  <c r="AK67" i="5"/>
  <c r="AJ67" i="5"/>
  <c r="AI67" i="5"/>
  <c r="AH67" i="5"/>
  <c r="M67" i="5"/>
  <c r="AT67" i="5" s="1"/>
  <c r="L67" i="5"/>
  <c r="K67" i="5"/>
  <c r="J67" i="5"/>
  <c r="H67" i="5"/>
  <c r="BZ66" i="5"/>
  <c r="BX66" i="5"/>
  <c r="BO66" i="5"/>
  <c r="BN66" i="5"/>
  <c r="BF66" i="5"/>
  <c r="BE66" i="5"/>
  <c r="AW66" i="5"/>
  <c r="AV66" i="5"/>
  <c r="AU66" i="5"/>
  <c r="AT66" i="5"/>
  <c r="AL66" i="5"/>
  <c r="AK66" i="5"/>
  <c r="AJ66" i="5"/>
  <c r="AI66" i="5"/>
  <c r="AH66" i="5"/>
  <c r="AM66" i="5" s="1"/>
  <c r="BA66" i="5" s="1"/>
  <c r="M66" i="5"/>
  <c r="L66" i="5"/>
  <c r="K66" i="5"/>
  <c r="J66" i="5"/>
  <c r="H66" i="5"/>
  <c r="BZ65" i="5"/>
  <c r="BX65" i="5"/>
  <c r="BO65" i="5"/>
  <c r="BN65" i="5"/>
  <c r="BF65" i="5"/>
  <c r="BE65" i="5"/>
  <c r="AU65" i="5"/>
  <c r="AT65" i="5"/>
  <c r="AM65" i="5"/>
  <c r="BA65" i="5" s="1"/>
  <c r="AL65" i="5"/>
  <c r="AV65" i="5" s="1"/>
  <c r="AW65" i="5" s="1"/>
  <c r="AK65" i="5"/>
  <c r="AJ65" i="5"/>
  <c r="AI65" i="5"/>
  <c r="AH65" i="5"/>
  <c r="M65" i="5"/>
  <c r="L65" i="5"/>
  <c r="K65" i="5"/>
  <c r="J65" i="5"/>
  <c r="H65" i="5"/>
  <c r="BZ64" i="5"/>
  <c r="BX64" i="5"/>
  <c r="BO64" i="5"/>
  <c r="BN64" i="5"/>
  <c r="BF64" i="5"/>
  <c r="BE64" i="5"/>
  <c r="AT64" i="5"/>
  <c r="AL64" i="5"/>
  <c r="AV64" i="5" s="1"/>
  <c r="AW64" i="5" s="1"/>
  <c r="AK64" i="5"/>
  <c r="AJ64" i="5"/>
  <c r="AI64" i="5"/>
  <c r="AU64" i="5" s="1"/>
  <c r="AH64" i="5"/>
  <c r="M64" i="5"/>
  <c r="L64" i="5"/>
  <c r="K64" i="5"/>
  <c r="J64" i="5"/>
  <c r="H64" i="5"/>
  <c r="BZ63" i="5"/>
  <c r="BX63" i="5"/>
  <c r="BO63" i="5"/>
  <c r="BN63" i="5"/>
  <c r="BF63" i="5"/>
  <c r="BE63" i="5"/>
  <c r="AW63" i="5"/>
  <c r="AV63" i="5"/>
  <c r="AM63" i="5"/>
  <c r="BA63" i="5" s="1"/>
  <c r="AL63" i="5"/>
  <c r="AK63" i="5"/>
  <c r="AJ63" i="5"/>
  <c r="AI63" i="5"/>
  <c r="AU63" i="5" s="1"/>
  <c r="AH63" i="5"/>
  <c r="M63" i="5"/>
  <c r="AT63" i="5" s="1"/>
  <c r="L63" i="5"/>
  <c r="K63" i="5"/>
  <c r="J63" i="5"/>
  <c r="H63" i="5"/>
  <c r="BZ62" i="5"/>
  <c r="BX62" i="5"/>
  <c r="BO62" i="5"/>
  <c r="BN62" i="5"/>
  <c r="BF62" i="5"/>
  <c r="BE62" i="5"/>
  <c r="AU62" i="5"/>
  <c r="AT62" i="5"/>
  <c r="AM62" i="5"/>
  <c r="BA62" i="5" s="1"/>
  <c r="AL62" i="5"/>
  <c r="AV62" i="5" s="1"/>
  <c r="AW62" i="5" s="1"/>
  <c r="AK62" i="5"/>
  <c r="AJ62" i="5"/>
  <c r="AI62" i="5"/>
  <c r="AH62" i="5"/>
  <c r="M62" i="5"/>
  <c r="L62" i="5"/>
  <c r="K62" i="5"/>
  <c r="J62" i="5"/>
  <c r="H62" i="5"/>
  <c r="BZ61" i="5"/>
  <c r="BX61" i="5"/>
  <c r="BO61" i="5"/>
  <c r="BN61" i="5"/>
  <c r="BF61" i="5"/>
  <c r="BE61" i="5"/>
  <c r="BA61" i="5"/>
  <c r="AM61" i="5"/>
  <c r="AL61" i="5"/>
  <c r="AV61" i="5" s="1"/>
  <c r="AW61" i="5" s="1"/>
  <c r="AK61" i="5"/>
  <c r="AJ61" i="5"/>
  <c r="AI61" i="5"/>
  <c r="AU61" i="5" s="1"/>
  <c r="AH61" i="5"/>
  <c r="M61" i="5"/>
  <c r="AT61" i="5" s="1"/>
  <c r="L61" i="5"/>
  <c r="K61" i="5"/>
  <c r="J61" i="5"/>
  <c r="H61" i="5"/>
  <c r="BZ60" i="5"/>
  <c r="BX60" i="5"/>
  <c r="BO60" i="5"/>
  <c r="BN60" i="5"/>
  <c r="BF60" i="5"/>
  <c r="BE60" i="5"/>
  <c r="AV60" i="5"/>
  <c r="AW60" i="5" s="1"/>
  <c r="AU60" i="5"/>
  <c r="AM60" i="5"/>
  <c r="BA60" i="5" s="1"/>
  <c r="AL60" i="5"/>
  <c r="AK60" i="5"/>
  <c r="AJ60" i="5"/>
  <c r="AI60" i="5"/>
  <c r="AH60" i="5"/>
  <c r="T60" i="5"/>
  <c r="M60" i="5"/>
  <c r="AT60" i="5" s="1"/>
  <c r="L60" i="5"/>
  <c r="K60" i="5"/>
  <c r="J60" i="5"/>
  <c r="H60" i="5"/>
  <c r="BZ59" i="5"/>
  <c r="BX59" i="5"/>
  <c r="BO59" i="5"/>
  <c r="BN59" i="5"/>
  <c r="BF59" i="5"/>
  <c r="BE59" i="5"/>
  <c r="AU59" i="5"/>
  <c r="AT59" i="5"/>
  <c r="AM59" i="5"/>
  <c r="BA59" i="5" s="1"/>
  <c r="AL59" i="5"/>
  <c r="AV59" i="5" s="1"/>
  <c r="AW59" i="5" s="1"/>
  <c r="AK59" i="5"/>
  <c r="AJ59" i="5"/>
  <c r="AI59" i="5"/>
  <c r="AH59" i="5"/>
  <c r="M59" i="5"/>
  <c r="L59" i="5"/>
  <c r="K59" i="5"/>
  <c r="J59" i="5"/>
  <c r="H59" i="5"/>
  <c r="BZ58" i="5"/>
  <c r="BX58" i="5"/>
  <c r="BO58" i="5"/>
  <c r="BN58" i="5"/>
  <c r="BF58" i="5"/>
  <c r="BE58" i="5"/>
  <c r="AM58" i="5"/>
  <c r="BA58" i="5" s="1"/>
  <c r="AL58" i="5"/>
  <c r="AV58" i="5" s="1"/>
  <c r="AK58" i="5"/>
  <c r="AJ58" i="5"/>
  <c r="AI58" i="5"/>
  <c r="AU58" i="5" s="1"/>
  <c r="AH58" i="5"/>
  <c r="M58" i="5"/>
  <c r="AT58" i="5" s="1"/>
  <c r="L58" i="5"/>
  <c r="K58" i="5"/>
  <c r="J58" i="5"/>
  <c r="H58" i="5"/>
  <c r="BZ57" i="5"/>
  <c r="BX57" i="5"/>
  <c r="BO57" i="5"/>
  <c r="BN57" i="5"/>
  <c r="BF57" i="5"/>
  <c r="BE57" i="5"/>
  <c r="AW57" i="5"/>
  <c r="AV57" i="5"/>
  <c r="AU57" i="5"/>
  <c r="AT57" i="5"/>
  <c r="AM57" i="5"/>
  <c r="BA57" i="5" s="1"/>
  <c r="AL57" i="5"/>
  <c r="AK57" i="5"/>
  <c r="AJ57" i="5"/>
  <c r="AI57" i="5"/>
  <c r="AH57" i="5"/>
  <c r="M57" i="5"/>
  <c r="L57" i="5"/>
  <c r="K57" i="5"/>
  <c r="J57" i="5"/>
  <c r="H57" i="5"/>
  <c r="BZ56" i="5"/>
  <c r="BX56" i="5"/>
  <c r="BO56" i="5"/>
  <c r="BN56" i="5"/>
  <c r="BF56" i="5"/>
  <c r="BE56" i="5"/>
  <c r="AU56" i="5"/>
  <c r="AT56" i="5"/>
  <c r="AL56" i="5"/>
  <c r="AV56" i="5" s="1"/>
  <c r="AW56" i="5" s="1"/>
  <c r="AK56" i="5"/>
  <c r="AJ56" i="5"/>
  <c r="AI56" i="5"/>
  <c r="AH56" i="5"/>
  <c r="AM56" i="5" s="1"/>
  <c r="BA56" i="5" s="1"/>
  <c r="M56" i="5"/>
  <c r="L56" i="5"/>
  <c r="K56" i="5"/>
  <c r="J56" i="5"/>
  <c r="H56" i="5"/>
  <c r="BZ55" i="5"/>
  <c r="BX55" i="5"/>
  <c r="BO55" i="5"/>
  <c r="BN55" i="5"/>
  <c r="BF55" i="5"/>
  <c r="BE55" i="5"/>
  <c r="AU55" i="5"/>
  <c r="AT55" i="5"/>
  <c r="AL55" i="5"/>
  <c r="AV55" i="5" s="1"/>
  <c r="AW55" i="5" s="1"/>
  <c r="AK55" i="5"/>
  <c r="AJ55" i="5"/>
  <c r="AI55" i="5"/>
  <c r="AH55" i="5"/>
  <c r="AM55" i="5" s="1"/>
  <c r="BA55" i="5" s="1"/>
  <c r="M55" i="5"/>
  <c r="L55" i="5"/>
  <c r="K55" i="5"/>
  <c r="J55" i="5"/>
  <c r="H55" i="5"/>
  <c r="BZ54" i="5"/>
  <c r="BX54" i="5"/>
  <c r="BO54" i="5"/>
  <c r="BN54" i="5"/>
  <c r="BF54" i="5"/>
  <c r="BE54" i="5"/>
  <c r="BA54" i="5"/>
  <c r="AV54" i="5"/>
  <c r="AW54" i="5" s="1"/>
  <c r="AU54" i="5"/>
  <c r="AM54" i="5"/>
  <c r="AL54" i="5"/>
  <c r="AK54" i="5"/>
  <c r="AJ54" i="5"/>
  <c r="AI54" i="5"/>
  <c r="AH54" i="5"/>
  <c r="M54" i="5"/>
  <c r="AT54" i="5" s="1"/>
  <c r="L54" i="5"/>
  <c r="K54" i="5"/>
  <c r="J54" i="5"/>
  <c r="H54" i="5"/>
  <c r="BZ53" i="5"/>
  <c r="BX53" i="5"/>
  <c r="BO53" i="5"/>
  <c r="BN53" i="5"/>
  <c r="BF53" i="5"/>
  <c r="BE53" i="5"/>
  <c r="AV53" i="5"/>
  <c r="AW53" i="5" s="1"/>
  <c r="AU53" i="5"/>
  <c r="AL53" i="5"/>
  <c r="AK53" i="5"/>
  <c r="AJ53" i="5"/>
  <c r="AI53" i="5"/>
  <c r="AH53" i="5"/>
  <c r="AM53" i="5" s="1"/>
  <c r="BA53" i="5" s="1"/>
  <c r="M53" i="5"/>
  <c r="AT53" i="5" s="1"/>
  <c r="L53" i="5"/>
  <c r="K53" i="5"/>
  <c r="J53" i="5"/>
  <c r="H53" i="5"/>
  <c r="BZ52" i="5"/>
  <c r="BX52" i="5"/>
  <c r="BO52" i="5"/>
  <c r="BN52" i="5"/>
  <c r="BF52" i="5"/>
  <c r="BE52" i="5"/>
  <c r="AW52" i="5"/>
  <c r="AV52" i="5"/>
  <c r="AU52" i="5"/>
  <c r="AT52" i="5"/>
  <c r="AM52" i="5"/>
  <c r="BA52" i="5" s="1"/>
  <c r="AL52" i="5"/>
  <c r="AK52" i="5"/>
  <c r="AJ52" i="5"/>
  <c r="AI52" i="5"/>
  <c r="AH52" i="5"/>
  <c r="M52" i="5"/>
  <c r="L52" i="5"/>
  <c r="K52" i="5"/>
  <c r="J52" i="5"/>
  <c r="H52" i="5"/>
  <c r="BZ51" i="5"/>
  <c r="BX51" i="5"/>
  <c r="BO51" i="5"/>
  <c r="BN51" i="5"/>
  <c r="BF51" i="5"/>
  <c r="BE51" i="5"/>
  <c r="BA51" i="5"/>
  <c r="AU51" i="5"/>
  <c r="AT51" i="5"/>
  <c r="AL51" i="5"/>
  <c r="AV51" i="5" s="1"/>
  <c r="AK51" i="5"/>
  <c r="AJ51" i="5"/>
  <c r="AI51" i="5"/>
  <c r="AH51" i="5"/>
  <c r="AM51" i="5" s="1"/>
  <c r="M51" i="5"/>
  <c r="L51" i="5"/>
  <c r="K51" i="5"/>
  <c r="J51" i="5"/>
  <c r="H51" i="5"/>
  <c r="BZ50" i="5"/>
  <c r="BX50" i="5"/>
  <c r="BO50" i="5"/>
  <c r="BN50" i="5"/>
  <c r="BF50" i="5"/>
  <c r="BE50" i="5"/>
  <c r="AW50" i="5"/>
  <c r="AV50" i="5"/>
  <c r="AT50" i="5"/>
  <c r="AL50" i="5"/>
  <c r="AK50" i="5"/>
  <c r="AJ50" i="5"/>
  <c r="AI50" i="5"/>
  <c r="AU50" i="5" s="1"/>
  <c r="AH50" i="5"/>
  <c r="M50" i="5"/>
  <c r="L50" i="5"/>
  <c r="K50" i="5"/>
  <c r="J50" i="5"/>
  <c r="H50" i="5"/>
  <c r="BZ49" i="5"/>
  <c r="BX49" i="5"/>
  <c r="BO49" i="5"/>
  <c r="BN49" i="5"/>
  <c r="BF49" i="5"/>
  <c r="BE49" i="5"/>
  <c r="AV49" i="5"/>
  <c r="AT49" i="5"/>
  <c r="AL49" i="5"/>
  <c r="AK49" i="5"/>
  <c r="AJ49" i="5"/>
  <c r="AI49" i="5"/>
  <c r="AU49" i="5" s="1"/>
  <c r="AH49" i="5"/>
  <c r="M49" i="5"/>
  <c r="L49" i="5"/>
  <c r="K49" i="5"/>
  <c r="J49" i="5"/>
  <c r="H49" i="5"/>
  <c r="BZ48" i="5"/>
  <c r="BX48" i="5"/>
  <c r="BO48" i="5"/>
  <c r="BN48" i="5"/>
  <c r="BF48" i="5"/>
  <c r="BE48" i="5"/>
  <c r="BA48" i="5"/>
  <c r="AM48" i="5"/>
  <c r="AL48" i="5"/>
  <c r="AV48" i="5" s="1"/>
  <c r="AK48" i="5"/>
  <c r="AJ48" i="5"/>
  <c r="AI48" i="5"/>
  <c r="AU48" i="5" s="1"/>
  <c r="AH48" i="5"/>
  <c r="M48" i="5"/>
  <c r="AT48" i="5" s="1"/>
  <c r="L48" i="5"/>
  <c r="K48" i="5"/>
  <c r="J48" i="5"/>
  <c r="H48" i="5"/>
  <c r="BZ47" i="5"/>
  <c r="BX47" i="5"/>
  <c r="BO47" i="5"/>
  <c r="BN47" i="5"/>
  <c r="BF47" i="5"/>
  <c r="BE47" i="5"/>
  <c r="AW47" i="5"/>
  <c r="AV47" i="5"/>
  <c r="AL47" i="5"/>
  <c r="AK47" i="5"/>
  <c r="AJ47" i="5"/>
  <c r="AI47" i="5"/>
  <c r="AU47" i="5" s="1"/>
  <c r="AH47" i="5"/>
  <c r="M47" i="5"/>
  <c r="AT47" i="5" s="1"/>
  <c r="L47" i="5"/>
  <c r="K47" i="5"/>
  <c r="J47" i="5"/>
  <c r="H47" i="5"/>
  <c r="BZ46" i="5"/>
  <c r="BX46" i="5"/>
  <c r="BO46" i="5"/>
  <c r="BN46" i="5"/>
  <c r="BF46" i="5"/>
  <c r="BE46" i="5"/>
  <c r="BA46" i="5"/>
  <c r="AW46" i="5"/>
  <c r="AV46" i="5"/>
  <c r="AM46" i="5"/>
  <c r="AL46" i="5"/>
  <c r="AK46" i="5"/>
  <c r="AJ46" i="5"/>
  <c r="AI46" i="5"/>
  <c r="AU46" i="5" s="1"/>
  <c r="AH46" i="5"/>
  <c r="M46" i="5"/>
  <c r="AT46" i="5" s="1"/>
  <c r="L46" i="5"/>
  <c r="K46" i="5"/>
  <c r="J46" i="5"/>
  <c r="H46" i="5"/>
  <c r="BZ45" i="5"/>
  <c r="BX45" i="5"/>
  <c r="BO45" i="5"/>
  <c r="BN45" i="5"/>
  <c r="BF45" i="5"/>
  <c r="BE45" i="5"/>
  <c r="AW45" i="5"/>
  <c r="AV45" i="5"/>
  <c r="AM45" i="5"/>
  <c r="BA45" i="5" s="1"/>
  <c r="AL45" i="5"/>
  <c r="AK45" i="5"/>
  <c r="AJ45" i="5"/>
  <c r="AI45" i="5"/>
  <c r="AU45" i="5" s="1"/>
  <c r="AH45" i="5"/>
  <c r="M45" i="5"/>
  <c r="AT45" i="5" s="1"/>
  <c r="L45" i="5"/>
  <c r="K45" i="5"/>
  <c r="J45" i="5"/>
  <c r="H45" i="5"/>
  <c r="BZ44" i="5"/>
  <c r="BX44" i="5"/>
  <c r="BO44" i="5"/>
  <c r="BN44" i="5"/>
  <c r="BF44" i="5"/>
  <c r="BE44" i="5"/>
  <c r="AV44" i="5"/>
  <c r="AW44" i="5" s="1"/>
  <c r="AU44" i="5"/>
  <c r="AT44" i="5"/>
  <c r="AL44" i="5"/>
  <c r="AK44" i="5"/>
  <c r="AJ44" i="5"/>
  <c r="AI44" i="5"/>
  <c r="AH44" i="5"/>
  <c r="M44" i="5"/>
  <c r="L44" i="5"/>
  <c r="K44" i="5"/>
  <c r="J44" i="5"/>
  <c r="H44" i="5"/>
  <c r="BZ43" i="5"/>
  <c r="BX43" i="5"/>
  <c r="BO43" i="5"/>
  <c r="BN43" i="5"/>
  <c r="BF43" i="5"/>
  <c r="BE43" i="5"/>
  <c r="BA43" i="5"/>
  <c r="AU43" i="5"/>
  <c r="AT43" i="5"/>
  <c r="AL43" i="5"/>
  <c r="AV43" i="5" s="1"/>
  <c r="AK43" i="5"/>
  <c r="AJ43" i="5"/>
  <c r="AI43" i="5"/>
  <c r="AH43" i="5"/>
  <c r="AM43" i="5" s="1"/>
  <c r="M43" i="5"/>
  <c r="L43" i="5"/>
  <c r="K43" i="5"/>
  <c r="J43" i="5"/>
  <c r="H43" i="5"/>
  <c r="BZ42" i="5"/>
  <c r="BX42" i="5"/>
  <c r="BO42" i="5"/>
  <c r="BN42" i="5"/>
  <c r="BF42" i="5"/>
  <c r="BE42" i="5"/>
  <c r="AT42" i="5"/>
  <c r="AM42" i="5"/>
  <c r="BA42" i="5" s="1"/>
  <c r="AL42" i="5"/>
  <c r="AV42" i="5" s="1"/>
  <c r="AW42" i="5" s="1"/>
  <c r="AK42" i="5"/>
  <c r="AJ42" i="5"/>
  <c r="AI42" i="5"/>
  <c r="AU42" i="5" s="1"/>
  <c r="AH42" i="5"/>
  <c r="M42" i="5"/>
  <c r="L42" i="5"/>
  <c r="K42" i="5"/>
  <c r="J42" i="5"/>
  <c r="H42" i="5"/>
  <c r="BZ41" i="5"/>
  <c r="BX41" i="5"/>
  <c r="BO41" i="5"/>
  <c r="BN41" i="5"/>
  <c r="BF41" i="5"/>
  <c r="BE41" i="5"/>
  <c r="AV41" i="5"/>
  <c r="AW41" i="5" s="1"/>
  <c r="AT41" i="5"/>
  <c r="AM41" i="5"/>
  <c r="BA41" i="5" s="1"/>
  <c r="AL41" i="5"/>
  <c r="AK41" i="5"/>
  <c r="AJ41" i="5"/>
  <c r="AI41" i="5"/>
  <c r="AU41" i="5" s="1"/>
  <c r="AH41" i="5"/>
  <c r="M41" i="5"/>
  <c r="L41" i="5"/>
  <c r="K41" i="5"/>
  <c r="J41" i="5"/>
  <c r="H41" i="5"/>
  <c r="BZ40" i="5"/>
  <c r="BX40" i="5"/>
  <c r="BO40" i="5"/>
  <c r="BN40" i="5"/>
  <c r="BF40" i="5"/>
  <c r="BE40" i="5"/>
  <c r="AV40" i="5"/>
  <c r="AT40" i="5"/>
  <c r="AM40" i="5"/>
  <c r="BA40" i="5" s="1"/>
  <c r="AL40" i="5"/>
  <c r="AK40" i="5"/>
  <c r="AW40" i="5" s="1"/>
  <c r="AJ40" i="5"/>
  <c r="AI40" i="5"/>
  <c r="AU40" i="5" s="1"/>
  <c r="AH40" i="5"/>
  <c r="M40" i="5"/>
  <c r="L40" i="5"/>
  <c r="K40" i="5"/>
  <c r="J40" i="5"/>
  <c r="H40" i="5"/>
  <c r="BZ39" i="5"/>
  <c r="BX39" i="5"/>
  <c r="BO39" i="5"/>
  <c r="BN39" i="5"/>
  <c r="BF39" i="5"/>
  <c r="BE39" i="5"/>
  <c r="AM39" i="5"/>
  <c r="BA39" i="5" s="1"/>
  <c r="AL39" i="5"/>
  <c r="AV39" i="5" s="1"/>
  <c r="AK39" i="5"/>
  <c r="AJ39" i="5"/>
  <c r="AI39" i="5"/>
  <c r="AU39" i="5" s="1"/>
  <c r="AH39" i="5"/>
  <c r="M39" i="5"/>
  <c r="AT39" i="5" s="1"/>
  <c r="L39" i="5"/>
  <c r="K39" i="5"/>
  <c r="J39" i="5"/>
  <c r="H39" i="5"/>
  <c r="BZ38" i="5"/>
  <c r="BX38" i="5"/>
  <c r="BO38" i="5"/>
  <c r="BN38" i="5"/>
  <c r="BF38" i="5"/>
  <c r="BE38" i="5"/>
  <c r="AU38" i="5"/>
  <c r="AT38" i="5"/>
  <c r="AM38" i="5"/>
  <c r="BA38" i="5" s="1"/>
  <c r="AL38" i="5"/>
  <c r="AV38" i="5" s="1"/>
  <c r="AW38" i="5" s="1"/>
  <c r="AK38" i="5"/>
  <c r="AJ38" i="5"/>
  <c r="AI38" i="5"/>
  <c r="AH38" i="5"/>
  <c r="M38" i="5"/>
  <c r="L38" i="5"/>
  <c r="K38" i="5"/>
  <c r="J38" i="5"/>
  <c r="H38" i="5"/>
  <c r="BZ37" i="5"/>
  <c r="BX37" i="5"/>
  <c r="BO37" i="5"/>
  <c r="BN37" i="5"/>
  <c r="BF37" i="5"/>
  <c r="BE37" i="5"/>
  <c r="AT37" i="5"/>
  <c r="AL37" i="5"/>
  <c r="AV37" i="5" s="1"/>
  <c r="AW37" i="5" s="1"/>
  <c r="AK37" i="5"/>
  <c r="AJ37" i="5"/>
  <c r="AI37" i="5"/>
  <c r="AU37" i="5" s="1"/>
  <c r="AH37" i="5"/>
  <c r="M37" i="5"/>
  <c r="L37" i="5"/>
  <c r="K37" i="5"/>
  <c r="J37" i="5"/>
  <c r="H37" i="5"/>
  <c r="BZ36" i="5"/>
  <c r="BX36" i="5"/>
  <c r="BO36" i="5"/>
  <c r="BN36" i="5"/>
  <c r="BF36" i="5"/>
  <c r="BE36" i="5"/>
  <c r="AM36" i="5"/>
  <c r="BA36" i="5" s="1"/>
  <c r="AL36" i="5"/>
  <c r="AV36" i="5" s="1"/>
  <c r="AW36" i="5" s="1"/>
  <c r="AK36" i="5"/>
  <c r="AJ36" i="5"/>
  <c r="AI36" i="5"/>
  <c r="AU36" i="5" s="1"/>
  <c r="AH36" i="5"/>
  <c r="M36" i="5"/>
  <c r="AT36" i="5" s="1"/>
  <c r="L36" i="5"/>
  <c r="K36" i="5"/>
  <c r="J36" i="5"/>
  <c r="H36" i="5"/>
  <c r="BZ35" i="5"/>
  <c r="BX35" i="5"/>
  <c r="BO35" i="5"/>
  <c r="BN35" i="5"/>
  <c r="BF35" i="5"/>
  <c r="BE35" i="5"/>
  <c r="AU35" i="5"/>
  <c r="AM35" i="5"/>
  <c r="BA35" i="5" s="1"/>
  <c r="AL35" i="5"/>
  <c r="AV35" i="5" s="1"/>
  <c r="AK35" i="5"/>
  <c r="AJ35" i="5"/>
  <c r="AI35" i="5"/>
  <c r="AH35" i="5"/>
  <c r="M35" i="5"/>
  <c r="AT35" i="5" s="1"/>
  <c r="L35" i="5"/>
  <c r="K35" i="5"/>
  <c r="J35" i="5"/>
  <c r="H35" i="5"/>
  <c r="BZ34" i="5"/>
  <c r="BX34" i="5"/>
  <c r="BO34" i="5"/>
  <c r="BN34" i="5"/>
  <c r="BF34" i="5"/>
  <c r="BE34" i="5"/>
  <c r="AT34" i="5"/>
  <c r="AL34" i="5"/>
  <c r="AV34" i="5" s="1"/>
  <c r="AK34" i="5"/>
  <c r="AJ34" i="5"/>
  <c r="AI34" i="5"/>
  <c r="AU34" i="5" s="1"/>
  <c r="AH34" i="5"/>
  <c r="AM34" i="5" s="1"/>
  <c r="BA34" i="5" s="1"/>
  <c r="M34" i="5"/>
  <c r="L34" i="5"/>
  <c r="K34" i="5"/>
  <c r="J34" i="5"/>
  <c r="H34" i="5"/>
  <c r="BZ33" i="5"/>
  <c r="BX33" i="5"/>
  <c r="BO33" i="5"/>
  <c r="BN33" i="5"/>
  <c r="BF33" i="5"/>
  <c r="BE33" i="5"/>
  <c r="AU33" i="5"/>
  <c r="AM33" i="5"/>
  <c r="BA33" i="5" s="1"/>
  <c r="AL33" i="5"/>
  <c r="AV33" i="5" s="1"/>
  <c r="AK33" i="5"/>
  <c r="AJ33" i="5"/>
  <c r="AI33" i="5"/>
  <c r="AH33" i="5"/>
  <c r="M33" i="5"/>
  <c r="AT33" i="5" s="1"/>
  <c r="L33" i="5"/>
  <c r="K33" i="5"/>
  <c r="J33" i="5"/>
  <c r="H33" i="5"/>
  <c r="BZ32" i="5"/>
  <c r="BX32" i="5"/>
  <c r="BO32" i="5"/>
  <c r="BN32" i="5"/>
  <c r="BF32" i="5"/>
  <c r="BE32" i="5"/>
  <c r="AV32" i="5"/>
  <c r="AW32" i="5" s="1"/>
  <c r="AU32" i="5"/>
  <c r="AM32" i="5"/>
  <c r="BA32" i="5" s="1"/>
  <c r="AL32" i="5"/>
  <c r="AK32" i="5"/>
  <c r="AJ32" i="5"/>
  <c r="AI32" i="5"/>
  <c r="AH32" i="5"/>
  <c r="M32" i="5"/>
  <c r="AT32" i="5" s="1"/>
  <c r="L32" i="5"/>
  <c r="K32" i="5"/>
  <c r="J32" i="5"/>
  <c r="H32" i="5"/>
  <c r="BZ31" i="5"/>
  <c r="BX31" i="5"/>
  <c r="BO31" i="5"/>
  <c r="BN31" i="5"/>
  <c r="BF31" i="5"/>
  <c r="BE31" i="5"/>
  <c r="AV31" i="5"/>
  <c r="AW31" i="5" s="1"/>
  <c r="AU31" i="5"/>
  <c r="AT31" i="5"/>
  <c r="AL31" i="5"/>
  <c r="AK31" i="5"/>
  <c r="AJ31" i="5"/>
  <c r="AI31" i="5"/>
  <c r="AH31" i="5"/>
  <c r="AM31" i="5" s="1"/>
  <c r="BA31" i="5" s="1"/>
  <c r="M31" i="5"/>
  <c r="L31" i="5"/>
  <c r="K31" i="5"/>
  <c r="J31" i="5"/>
  <c r="H31" i="5"/>
  <c r="BZ30" i="5"/>
  <c r="BX30" i="5"/>
  <c r="BO30" i="5"/>
  <c r="BN30" i="5"/>
  <c r="BF30" i="5"/>
  <c r="BE30" i="5"/>
  <c r="AW30" i="5"/>
  <c r="AV30" i="5"/>
  <c r="AU30" i="5"/>
  <c r="AL30" i="5"/>
  <c r="AK30" i="5"/>
  <c r="AJ30" i="5"/>
  <c r="AI30" i="5"/>
  <c r="AH30" i="5"/>
  <c r="AM30" i="5" s="1"/>
  <c r="BA30" i="5" s="1"/>
  <c r="M30" i="5"/>
  <c r="AT30" i="5" s="1"/>
  <c r="L30" i="5"/>
  <c r="K30" i="5"/>
  <c r="J30" i="5"/>
  <c r="H30" i="5"/>
  <c r="BZ29" i="5"/>
  <c r="BX29" i="5"/>
  <c r="BO29" i="5"/>
  <c r="BN29" i="5"/>
  <c r="BF29" i="5"/>
  <c r="BE29" i="5"/>
  <c r="BA29" i="5"/>
  <c r="AU29" i="5"/>
  <c r="AM29" i="5"/>
  <c r="AL29" i="5"/>
  <c r="AV29" i="5" s="1"/>
  <c r="AK29" i="5"/>
  <c r="AJ29" i="5"/>
  <c r="AI29" i="5"/>
  <c r="AH29" i="5"/>
  <c r="M29" i="5"/>
  <c r="AT29" i="5" s="1"/>
  <c r="L29" i="5"/>
  <c r="K29" i="5"/>
  <c r="J29" i="5"/>
  <c r="H29" i="5"/>
  <c r="BZ28" i="5"/>
  <c r="BX28" i="5"/>
  <c r="BO28" i="5"/>
  <c r="BN28" i="5"/>
  <c r="BF28" i="5"/>
  <c r="BE28" i="5"/>
  <c r="AV28" i="5"/>
  <c r="AW28" i="5" s="1"/>
  <c r="AU28" i="5"/>
  <c r="AL28" i="5"/>
  <c r="AK28" i="5"/>
  <c r="AJ28" i="5"/>
  <c r="AI28" i="5"/>
  <c r="AH28" i="5"/>
  <c r="AM28" i="5" s="1"/>
  <c r="BA28" i="5" s="1"/>
  <c r="M28" i="5"/>
  <c r="AT28" i="5" s="1"/>
  <c r="L28" i="5"/>
  <c r="K28" i="5"/>
  <c r="J28" i="5"/>
  <c r="H28" i="5"/>
  <c r="BZ27" i="5"/>
  <c r="BX27" i="5"/>
  <c r="BO27" i="5"/>
  <c r="BN27" i="5"/>
  <c r="BF27" i="5"/>
  <c r="BE27" i="5"/>
  <c r="AV27" i="5"/>
  <c r="AW27" i="5" s="1"/>
  <c r="AU27" i="5"/>
  <c r="AT27" i="5"/>
  <c r="AL27" i="5"/>
  <c r="AK27" i="5"/>
  <c r="AJ27" i="5"/>
  <c r="AI27" i="5"/>
  <c r="AH27" i="5"/>
  <c r="AM27" i="5" s="1"/>
  <c r="BA27" i="5" s="1"/>
  <c r="M27" i="5"/>
  <c r="L27" i="5"/>
  <c r="K27" i="5"/>
  <c r="J27" i="5"/>
  <c r="H27" i="5"/>
  <c r="BZ26" i="5"/>
  <c r="BX26" i="5"/>
  <c r="BO26" i="5"/>
  <c r="BN26" i="5"/>
  <c r="BF26" i="5"/>
  <c r="BE26" i="5"/>
  <c r="AT26" i="5"/>
  <c r="AL26" i="5"/>
  <c r="AV26" i="5" s="1"/>
  <c r="AK26" i="5"/>
  <c r="AJ26" i="5"/>
  <c r="AI26" i="5"/>
  <c r="AU26" i="5" s="1"/>
  <c r="AH26" i="5"/>
  <c r="M26" i="5"/>
  <c r="L26" i="5"/>
  <c r="K26" i="5"/>
  <c r="J26" i="5"/>
  <c r="H26" i="5"/>
  <c r="BZ25" i="5"/>
  <c r="BX25" i="5"/>
  <c r="BO25" i="5"/>
  <c r="BN25" i="5"/>
  <c r="BF25" i="5"/>
  <c r="BE25" i="5"/>
  <c r="AW25" i="5"/>
  <c r="AV25" i="5"/>
  <c r="AT25" i="5"/>
  <c r="AL25" i="5"/>
  <c r="AK25" i="5"/>
  <c r="AJ25" i="5"/>
  <c r="AI25" i="5"/>
  <c r="AU25" i="5" s="1"/>
  <c r="AH25" i="5"/>
  <c r="M25" i="5"/>
  <c r="L25" i="5"/>
  <c r="K25" i="5"/>
  <c r="J25" i="5"/>
  <c r="H25" i="5"/>
  <c r="BZ24" i="5"/>
  <c r="BX24" i="5"/>
  <c r="BO24" i="5"/>
  <c r="BN24" i="5"/>
  <c r="BF24" i="5"/>
  <c r="BE24" i="5"/>
  <c r="AL24" i="5"/>
  <c r="AV24" i="5" s="1"/>
  <c r="AW24" i="5" s="1"/>
  <c r="AK24" i="5"/>
  <c r="AJ24" i="5"/>
  <c r="AI24" i="5"/>
  <c r="AU24" i="5" s="1"/>
  <c r="AH24" i="5"/>
  <c r="AM24" i="5" s="1"/>
  <c r="BA24" i="5" s="1"/>
  <c r="M24" i="5"/>
  <c r="AT24" i="5" s="1"/>
  <c r="L24" i="5"/>
  <c r="K24" i="5"/>
  <c r="J24" i="5"/>
  <c r="H24" i="5"/>
  <c r="BZ23" i="5"/>
  <c r="BX23" i="5"/>
  <c r="BO23" i="5"/>
  <c r="BN23" i="5"/>
  <c r="BF23" i="5"/>
  <c r="BE23" i="5"/>
  <c r="BA23" i="5"/>
  <c r="AL23" i="5"/>
  <c r="AV23" i="5" s="1"/>
  <c r="AW23" i="5" s="1"/>
  <c r="AK23" i="5"/>
  <c r="AJ23" i="5"/>
  <c r="AI23" i="5"/>
  <c r="AU23" i="5" s="1"/>
  <c r="AH23" i="5"/>
  <c r="AM23" i="5" s="1"/>
  <c r="M23" i="5"/>
  <c r="AT23" i="5" s="1"/>
  <c r="L23" i="5"/>
  <c r="K23" i="5"/>
  <c r="J23" i="5"/>
  <c r="H23" i="5"/>
  <c r="BZ22" i="5"/>
  <c r="BX22" i="5"/>
  <c r="BO22" i="5"/>
  <c r="BN22" i="5"/>
  <c r="BF22" i="5"/>
  <c r="BE22" i="5"/>
  <c r="AW22" i="5"/>
  <c r="AV22" i="5"/>
  <c r="AU22" i="5"/>
  <c r="AL22" i="5"/>
  <c r="AK22" i="5"/>
  <c r="AJ22" i="5"/>
  <c r="AI22" i="5"/>
  <c r="AH22" i="5"/>
  <c r="M22" i="5"/>
  <c r="AT22" i="5" s="1"/>
  <c r="L22" i="5"/>
  <c r="K22" i="5"/>
  <c r="J22" i="5"/>
  <c r="H22" i="5"/>
  <c r="BZ21" i="5"/>
  <c r="BX21" i="5"/>
  <c r="BO21" i="5"/>
  <c r="BN21" i="5"/>
  <c r="BF21" i="5"/>
  <c r="BE21" i="5"/>
  <c r="AT21" i="5"/>
  <c r="AL21" i="5"/>
  <c r="AV21" i="5" s="1"/>
  <c r="AW21" i="5" s="1"/>
  <c r="AK21" i="5"/>
  <c r="AJ21" i="5"/>
  <c r="AI21" i="5"/>
  <c r="AU21" i="5" s="1"/>
  <c r="AH21" i="5"/>
  <c r="M21" i="5"/>
  <c r="L21" i="5"/>
  <c r="K21" i="5"/>
  <c r="J21" i="5"/>
  <c r="H21" i="5"/>
  <c r="BZ20" i="5"/>
  <c r="BX20" i="5"/>
  <c r="BO20" i="5"/>
  <c r="BN20" i="5"/>
  <c r="BF20" i="5"/>
  <c r="BE20" i="5"/>
  <c r="AM20" i="5"/>
  <c r="BA20" i="5" s="1"/>
  <c r="AL20" i="5"/>
  <c r="AV20" i="5" s="1"/>
  <c r="AW20" i="5" s="1"/>
  <c r="AK20" i="5"/>
  <c r="AJ20" i="5"/>
  <c r="AI20" i="5"/>
  <c r="AU20" i="5" s="1"/>
  <c r="AH20" i="5"/>
  <c r="M20" i="5"/>
  <c r="AT20" i="5" s="1"/>
  <c r="L20" i="5"/>
  <c r="K20" i="5"/>
  <c r="J20" i="5"/>
  <c r="H20" i="5"/>
  <c r="BZ19" i="5"/>
  <c r="BX19" i="5"/>
  <c r="BO19" i="5"/>
  <c r="BN19" i="5"/>
  <c r="BF19" i="5"/>
  <c r="BE19" i="5"/>
  <c r="AU19" i="5"/>
  <c r="AM19" i="5"/>
  <c r="BA19" i="5" s="1"/>
  <c r="AL19" i="5"/>
  <c r="AV19" i="5" s="1"/>
  <c r="AW19" i="5" s="1"/>
  <c r="AK19" i="5"/>
  <c r="AJ19" i="5"/>
  <c r="AI19" i="5"/>
  <c r="AH19" i="5"/>
  <c r="M19" i="5"/>
  <c r="AT19" i="5" s="1"/>
  <c r="L19" i="5"/>
  <c r="K19" i="5"/>
  <c r="J19" i="5"/>
  <c r="H19" i="5"/>
  <c r="BZ18" i="5"/>
  <c r="BX18" i="5"/>
  <c r="BO18" i="5"/>
  <c r="BN18" i="5"/>
  <c r="BF18" i="5"/>
  <c r="BE18" i="5"/>
  <c r="AU18" i="5"/>
  <c r="AT18" i="5"/>
  <c r="AL18" i="5"/>
  <c r="AV18" i="5" s="1"/>
  <c r="AW18" i="5" s="1"/>
  <c r="AK18" i="5"/>
  <c r="AJ18" i="5"/>
  <c r="AI18" i="5"/>
  <c r="AH18" i="5"/>
  <c r="AM18" i="5" s="1"/>
  <c r="BA18" i="5" s="1"/>
  <c r="M18" i="5"/>
  <c r="L18" i="5"/>
  <c r="K18" i="5"/>
  <c r="J18" i="5"/>
  <c r="H18" i="5"/>
  <c r="BZ17" i="5"/>
  <c r="BX17" i="5"/>
  <c r="BO17" i="5"/>
  <c r="BN17" i="5"/>
  <c r="BF17" i="5"/>
  <c r="BE17" i="5"/>
  <c r="AU17" i="5"/>
  <c r="AM17" i="5"/>
  <c r="BA17" i="5" s="1"/>
  <c r="AL17" i="5"/>
  <c r="AV17" i="5" s="1"/>
  <c r="AW17" i="5" s="1"/>
  <c r="AK17" i="5"/>
  <c r="AJ17" i="5"/>
  <c r="AI17" i="5"/>
  <c r="AH17" i="5"/>
  <c r="M17" i="5"/>
  <c r="AT17" i="5" s="1"/>
  <c r="L17" i="5"/>
  <c r="K17" i="5"/>
  <c r="J17" i="5"/>
  <c r="H17" i="5"/>
  <c r="BZ16" i="5"/>
  <c r="BX16" i="5"/>
  <c r="BO16" i="5"/>
  <c r="BN16" i="5"/>
  <c r="BF16" i="5"/>
  <c r="BE16" i="5"/>
  <c r="BA16" i="5"/>
  <c r="AV16" i="5"/>
  <c r="AW16" i="5" s="1"/>
  <c r="AU16" i="5"/>
  <c r="AM16" i="5"/>
  <c r="AL16" i="5"/>
  <c r="AK16" i="5"/>
  <c r="AJ16" i="5"/>
  <c r="AI16" i="5"/>
  <c r="AH16" i="5"/>
  <c r="M16" i="5"/>
  <c r="AT16" i="5" s="1"/>
  <c r="L16" i="5"/>
  <c r="K16" i="5"/>
  <c r="J16" i="5"/>
  <c r="H16" i="5"/>
  <c r="BZ15" i="5"/>
  <c r="BX15" i="5"/>
  <c r="BO15" i="5"/>
  <c r="BN15" i="5"/>
  <c r="BF15" i="5"/>
  <c r="BE15" i="5"/>
  <c r="AW15" i="5"/>
  <c r="AV15" i="5"/>
  <c r="AU15" i="5"/>
  <c r="AT15" i="5"/>
  <c r="AL15" i="5"/>
  <c r="AK15" i="5"/>
  <c r="AJ15" i="5"/>
  <c r="AI15" i="5"/>
  <c r="AH15" i="5"/>
  <c r="M15" i="5"/>
  <c r="L15" i="5"/>
  <c r="K15" i="5"/>
  <c r="J15" i="5"/>
  <c r="H15" i="5"/>
  <c r="BZ14" i="5"/>
  <c r="BX14" i="5"/>
  <c r="BO14" i="5"/>
  <c r="BN14" i="5"/>
  <c r="BF14" i="5"/>
  <c r="BE14" i="5"/>
  <c r="AL14" i="5"/>
  <c r="AV14" i="5" s="1"/>
  <c r="AW14" i="5" s="1"/>
  <c r="AK14" i="5"/>
  <c r="AJ14" i="5"/>
  <c r="AI14" i="5"/>
  <c r="AU14" i="5" s="1"/>
  <c r="AH14" i="5"/>
  <c r="M14" i="5"/>
  <c r="AT14" i="5" s="1"/>
  <c r="L14" i="5"/>
  <c r="K14" i="5"/>
  <c r="J14" i="5"/>
  <c r="H14" i="5"/>
  <c r="BZ13" i="5"/>
  <c r="BX13" i="5"/>
  <c r="BO13" i="5"/>
  <c r="BN13" i="5"/>
  <c r="BF13" i="5"/>
  <c r="BE13" i="5"/>
  <c r="AV13" i="5"/>
  <c r="AW13" i="5" s="1"/>
  <c r="AU13" i="5"/>
  <c r="AM13" i="5"/>
  <c r="BA13" i="5" s="1"/>
  <c r="AL13" i="5"/>
  <c r="AK13" i="5"/>
  <c r="AJ13" i="5"/>
  <c r="AI13" i="5"/>
  <c r="AH13" i="5"/>
  <c r="M13" i="5"/>
  <c r="AT13" i="5" s="1"/>
  <c r="L13" i="5"/>
  <c r="K13" i="5"/>
  <c r="J13" i="5"/>
  <c r="H13" i="5"/>
  <c r="BZ12" i="5"/>
  <c r="BX12" i="5"/>
  <c r="BO12" i="5"/>
  <c r="BN12" i="5"/>
  <c r="BF12" i="5"/>
  <c r="BE12" i="5"/>
  <c r="AW12" i="5"/>
  <c r="AV12" i="5"/>
  <c r="AL12" i="5"/>
  <c r="AK12" i="5"/>
  <c r="AJ12" i="5"/>
  <c r="AI12" i="5"/>
  <c r="AU12" i="5" s="1"/>
  <c r="AH12" i="5"/>
  <c r="AB12" i="5"/>
  <c r="M12" i="5"/>
  <c r="AT12" i="5" s="1"/>
  <c r="L12" i="5"/>
  <c r="K12" i="5"/>
  <c r="J12" i="5"/>
  <c r="H12" i="5"/>
  <c r="BZ11" i="5"/>
  <c r="BX11" i="5"/>
  <c r="BO11" i="5"/>
  <c r="BN11" i="5"/>
  <c r="BF11" i="5"/>
  <c r="BE11" i="5"/>
  <c r="AW11" i="5"/>
  <c r="AM11" i="5"/>
  <c r="BA11" i="5" s="1"/>
  <c r="AL11" i="5"/>
  <c r="AV11" i="5" s="1"/>
  <c r="AK11" i="5"/>
  <c r="AJ11" i="5"/>
  <c r="AI11" i="5"/>
  <c r="AU11" i="5" s="1"/>
  <c r="AH11" i="5"/>
  <c r="M11" i="5"/>
  <c r="AT11" i="5" s="1"/>
  <c r="L11" i="5"/>
  <c r="K11" i="5"/>
  <c r="J11" i="5"/>
  <c r="H11" i="5"/>
  <c r="BZ10" i="5"/>
  <c r="BX10" i="5"/>
  <c r="BO10" i="5"/>
  <c r="BN10" i="5"/>
  <c r="BF10" i="5"/>
  <c r="BE10" i="5"/>
  <c r="AU10" i="5"/>
  <c r="AM10" i="5"/>
  <c r="BA10" i="5" s="1"/>
  <c r="AL10" i="5"/>
  <c r="AV10" i="5" s="1"/>
  <c r="AW10" i="5" s="1"/>
  <c r="AK10" i="5"/>
  <c r="AJ10" i="5"/>
  <c r="AI10" i="5"/>
  <c r="AH10" i="5"/>
  <c r="M10" i="5"/>
  <c r="AT10" i="5" s="1"/>
  <c r="L10" i="5"/>
  <c r="K10" i="5"/>
  <c r="J10" i="5"/>
  <c r="H10" i="5"/>
  <c r="BZ9" i="5"/>
  <c r="BX9" i="5"/>
  <c r="BO9" i="5"/>
  <c r="BN9" i="5"/>
  <c r="BF9" i="5"/>
  <c r="BE9" i="5"/>
  <c r="AV9" i="5"/>
  <c r="AW9" i="5" s="1"/>
  <c r="AU9" i="5"/>
  <c r="AL9" i="5"/>
  <c r="AK9" i="5"/>
  <c r="AJ9" i="5"/>
  <c r="AI9" i="5"/>
  <c r="AH9" i="5"/>
  <c r="AM9" i="5" s="1"/>
  <c r="BA9" i="5" s="1"/>
  <c r="M9" i="5"/>
  <c r="AT9" i="5" s="1"/>
  <c r="L9" i="5"/>
  <c r="K9" i="5"/>
  <c r="J9" i="5"/>
  <c r="H9" i="5"/>
  <c r="BZ8" i="5"/>
  <c r="BX8" i="5"/>
  <c r="BO8" i="5"/>
  <c r="BN8" i="5"/>
  <c r="BF8" i="5"/>
  <c r="BE8" i="5"/>
  <c r="AT8" i="5"/>
  <c r="AL8" i="5"/>
  <c r="AV8" i="5" s="1"/>
  <c r="AW8" i="5" s="1"/>
  <c r="AK8" i="5"/>
  <c r="AJ8" i="5"/>
  <c r="AI8" i="5"/>
  <c r="AU8" i="5" s="1"/>
  <c r="AH8" i="5"/>
  <c r="M8" i="5"/>
  <c r="L8" i="5"/>
  <c r="K8" i="5"/>
  <c r="J8" i="5"/>
  <c r="H8" i="5"/>
  <c r="BZ7" i="5"/>
  <c r="BX7" i="5"/>
  <c r="BO7" i="5"/>
  <c r="BN7" i="5"/>
  <c r="BF7" i="5"/>
  <c r="BE7" i="5"/>
  <c r="AU7" i="5"/>
  <c r="AM7" i="5"/>
  <c r="BA7" i="5" s="1"/>
  <c r="AL7" i="5"/>
  <c r="AV7" i="5" s="1"/>
  <c r="AW7" i="5" s="1"/>
  <c r="AK7" i="5"/>
  <c r="AJ7" i="5"/>
  <c r="AI7" i="5"/>
  <c r="AH7" i="5"/>
  <c r="M7" i="5"/>
  <c r="AT7" i="5" s="1"/>
  <c r="L7" i="5"/>
  <c r="K7" i="5"/>
  <c r="J7" i="5"/>
  <c r="H7" i="5"/>
  <c r="BZ6" i="5"/>
  <c r="BX6" i="5"/>
  <c r="BO6" i="5"/>
  <c r="BN6" i="5"/>
  <c r="BF6" i="5"/>
  <c r="BE6" i="5"/>
  <c r="AV6" i="5"/>
  <c r="AW6" i="5" s="1"/>
  <c r="AU6" i="5"/>
  <c r="AL6" i="5"/>
  <c r="AK6" i="5"/>
  <c r="AJ6" i="5"/>
  <c r="AI6" i="5"/>
  <c r="AH6" i="5"/>
  <c r="AM6" i="5" s="1"/>
  <c r="BA6" i="5" s="1"/>
  <c r="M6" i="5"/>
  <c r="AT6" i="5" s="1"/>
  <c r="L6" i="5"/>
  <c r="K6" i="5"/>
  <c r="J6" i="5"/>
  <c r="H6" i="5"/>
  <c r="BZ5" i="5"/>
  <c r="BX5" i="5"/>
  <c r="BO5" i="5"/>
  <c r="BN5" i="5"/>
  <c r="BF5" i="5"/>
  <c r="BE5" i="5"/>
  <c r="AV5" i="5"/>
  <c r="AW5" i="5" s="1"/>
  <c r="AU5" i="5"/>
  <c r="AL5" i="5"/>
  <c r="AK5" i="5"/>
  <c r="AJ5" i="5"/>
  <c r="AI5" i="5"/>
  <c r="AH5" i="5"/>
  <c r="AM5" i="5" s="1"/>
  <c r="BA5" i="5" s="1"/>
  <c r="T5" i="5"/>
  <c r="M5" i="5"/>
  <c r="AT5" i="5" s="1"/>
  <c r="L5" i="5"/>
  <c r="K5" i="5"/>
  <c r="J5" i="5"/>
  <c r="H5" i="5"/>
  <c r="BZ4" i="5"/>
  <c r="BX4" i="5"/>
  <c r="BO4" i="5"/>
  <c r="BN4" i="5"/>
  <c r="BF4" i="5"/>
  <c r="BE4" i="5"/>
  <c r="BA4" i="5"/>
  <c r="AU4" i="5"/>
  <c r="AT4" i="5"/>
  <c r="AM4" i="5"/>
  <c r="AL4" i="5"/>
  <c r="AV4" i="5" s="1"/>
  <c r="AK4" i="5"/>
  <c r="AJ4" i="5"/>
  <c r="AI4" i="5"/>
  <c r="AH4" i="5"/>
  <c r="L4" i="5"/>
  <c r="K4" i="5"/>
  <c r="J4" i="5"/>
  <c r="H4" i="5"/>
  <c r="F13" i="4"/>
  <c r="D13" i="4" s="1"/>
  <c r="F12" i="4"/>
  <c r="D12" i="4" s="1"/>
  <c r="F11" i="4"/>
  <c r="D11" i="4" s="1"/>
  <c r="F10" i="4"/>
  <c r="D10" i="4" s="1"/>
  <c r="F9" i="4"/>
  <c r="D9" i="4" s="1"/>
  <c r="F8" i="4"/>
  <c r="D8" i="4"/>
  <c r="F7" i="4"/>
  <c r="D7" i="4"/>
  <c r="F6" i="4"/>
  <c r="D6" i="4" s="1"/>
  <c r="F5" i="4"/>
  <c r="D5" i="4"/>
  <c r="F4" i="4"/>
  <c r="H19" i="2"/>
  <c r="H18" i="2"/>
  <c r="H17" i="2"/>
  <c r="H16" i="2"/>
  <c r="AB21" i="5" s="1"/>
  <c r="H15" i="2"/>
  <c r="H14" i="2"/>
  <c r="H13" i="2"/>
  <c r="H12" i="2"/>
  <c r="H11" i="2"/>
  <c r="H10" i="2"/>
  <c r="H9" i="2"/>
  <c r="H8" i="2"/>
  <c r="H7" i="2"/>
  <c r="H6" i="2"/>
  <c r="H5" i="2"/>
  <c r="AB9" i="5" s="1"/>
  <c r="H4" i="2"/>
  <c r="X119" i="5" s="1"/>
  <c r="B7" i="6"/>
  <c r="AB48" i="5" l="1"/>
  <c r="AM26" i="5"/>
  <c r="BA26" i="5" s="1"/>
  <c r="AW39" i="5"/>
  <c r="AB5" i="5"/>
  <c r="AO5" i="5" s="1"/>
  <c r="X57" i="5"/>
  <c r="X5" i="5"/>
  <c r="T24" i="5"/>
  <c r="AM92" i="5"/>
  <c r="BA92" i="5" s="1"/>
  <c r="AO60" i="5"/>
  <c r="AN60" i="5"/>
  <c r="AZ60" i="5" s="1"/>
  <c r="AW33" i="5"/>
  <c r="X24" i="5"/>
  <c r="AB80" i="5"/>
  <c r="AW107" i="5"/>
  <c r="AB124" i="5"/>
  <c r="AM97" i="5"/>
  <c r="BA97" i="5" s="1"/>
  <c r="X27" i="5"/>
  <c r="AM64" i="5"/>
  <c r="BA64" i="5" s="1"/>
  <c r="T146" i="5"/>
  <c r="T6" i="5"/>
  <c r="AM8" i="5"/>
  <c r="BA8" i="5" s="1"/>
  <c r="AB22" i="5"/>
  <c r="AM49" i="5"/>
  <c r="BA49" i="5" s="1"/>
  <c r="T121" i="5"/>
  <c r="AM12" i="5"/>
  <c r="BA12" i="5" s="1"/>
  <c r="AW34" i="5"/>
  <c r="AW48" i="5"/>
  <c r="AM129" i="5"/>
  <c r="BA129" i="5" s="1"/>
  <c r="T162" i="5"/>
  <c r="X22" i="5"/>
  <c r="AB49" i="5"/>
  <c r="AM22" i="5"/>
  <c r="BA22" i="5" s="1"/>
  <c r="AR60" i="5"/>
  <c r="T74" i="5"/>
  <c r="AB110" i="5"/>
  <c r="AM14" i="5"/>
  <c r="BA14" i="5" s="1"/>
  <c r="AB25" i="5"/>
  <c r="AW35" i="5"/>
  <c r="X55" i="5"/>
  <c r="X58" i="5"/>
  <c r="X65" i="5"/>
  <c r="T71" i="5"/>
  <c r="AM85" i="5"/>
  <c r="BA85" i="5" s="1"/>
  <c r="AB132" i="5"/>
  <c r="X159" i="5"/>
  <c r="AM88" i="5"/>
  <c r="BA88" i="5" s="1"/>
  <c r="X8" i="5"/>
  <c r="AB8" i="5"/>
  <c r="AM21" i="5"/>
  <c r="BA21" i="5" s="1"/>
  <c r="AB27" i="5"/>
  <c r="AM47" i="5"/>
  <c r="BA47" i="5" s="1"/>
  <c r="T78" i="5"/>
  <c r="AM15" i="5"/>
  <c r="BA15" i="5" s="1"/>
  <c r="T28" i="5"/>
  <c r="AM50" i="5"/>
  <c r="BA50" i="5" s="1"/>
  <c r="AB68" i="5"/>
  <c r="AW81" i="5"/>
  <c r="AM126" i="5"/>
  <c r="BA126" i="5" s="1"/>
  <c r="T136" i="5"/>
  <c r="AW76" i="5"/>
  <c r="X6" i="5"/>
  <c r="AB47" i="5"/>
  <c r="AB65" i="5"/>
  <c r="AW4" i="5"/>
  <c r="T15" i="5"/>
  <c r="X9" i="5"/>
  <c r="AB11" i="5"/>
  <c r="AB23" i="5"/>
  <c r="AW49" i="5"/>
  <c r="AB72" i="5"/>
  <c r="X75" i="5"/>
  <c r="AM37" i="5"/>
  <c r="BA37" i="5" s="1"/>
  <c r="X49" i="5"/>
  <c r="T77" i="5"/>
  <c r="AW43" i="5"/>
  <c r="AM25" i="5"/>
  <c r="BA25" i="5" s="1"/>
  <c r="AW58" i="5"/>
  <c r="AM72" i="5"/>
  <c r="BA72" i="5" s="1"/>
  <c r="T12" i="5"/>
  <c r="X15" i="5"/>
  <c r="AB24" i="5"/>
  <c r="T25" i="5"/>
  <c r="X54" i="5"/>
  <c r="AB61" i="5"/>
  <c r="X78" i="5"/>
  <c r="AB199" i="5"/>
  <c r="X196" i="5"/>
  <c r="T193" i="5"/>
  <c r="AB183" i="5"/>
  <c r="X180" i="5"/>
  <c r="T177" i="5"/>
  <c r="AB202" i="5"/>
  <c r="X199" i="5"/>
  <c r="T196" i="5"/>
  <c r="AB186" i="5"/>
  <c r="X183" i="5"/>
  <c r="T180" i="5"/>
  <c r="X202" i="5"/>
  <c r="T199" i="5"/>
  <c r="AB189" i="5"/>
  <c r="X186" i="5"/>
  <c r="T183" i="5"/>
  <c r="AB173" i="5"/>
  <c r="X170" i="5"/>
  <c r="T167" i="5"/>
  <c r="AB157" i="5"/>
  <c r="T202" i="5"/>
  <c r="AB192" i="5"/>
  <c r="X189" i="5"/>
  <c r="T186" i="5"/>
  <c r="AB176" i="5"/>
  <c r="X173" i="5"/>
  <c r="T170" i="5"/>
  <c r="AB160" i="5"/>
  <c r="X157" i="5"/>
  <c r="T154" i="5"/>
  <c r="AB195" i="5"/>
  <c r="X192" i="5"/>
  <c r="T189" i="5"/>
  <c r="AB179" i="5"/>
  <c r="X176" i="5"/>
  <c r="T173" i="5"/>
  <c r="AB163" i="5"/>
  <c r="X160" i="5"/>
  <c r="T157" i="5"/>
  <c r="AB147" i="5"/>
  <c r="AB198" i="5"/>
  <c r="X195" i="5"/>
  <c r="T192" i="5"/>
  <c r="AB182" i="5"/>
  <c r="X179" i="5"/>
  <c r="T176" i="5"/>
  <c r="AB166" i="5"/>
  <c r="AB201" i="5"/>
  <c r="X198" i="5"/>
  <c r="T195" i="5"/>
  <c r="AB185" i="5"/>
  <c r="X182" i="5"/>
  <c r="T179" i="5"/>
  <c r="AB169" i="5"/>
  <c r="X166" i="5"/>
  <c r="X201" i="5"/>
  <c r="T198" i="5"/>
  <c r="AB188" i="5"/>
  <c r="X185" i="5"/>
  <c r="T182" i="5"/>
  <c r="AB172" i="5"/>
  <c r="X169" i="5"/>
  <c r="T166" i="5"/>
  <c r="AB156" i="5"/>
  <c r="X153" i="5"/>
  <c r="T150" i="5"/>
  <c r="T201" i="5"/>
  <c r="AB191" i="5"/>
  <c r="X188" i="5"/>
  <c r="T185" i="5"/>
  <c r="AB175" i="5"/>
  <c r="X172" i="5"/>
  <c r="T169" i="5"/>
  <c r="AB159" i="5"/>
  <c r="X156" i="5"/>
  <c r="T153" i="5"/>
  <c r="AB143" i="5"/>
  <c r="X140" i="5"/>
  <c r="AB194" i="5"/>
  <c r="X191" i="5"/>
  <c r="T188" i="5"/>
  <c r="AB178" i="5"/>
  <c r="X175" i="5"/>
  <c r="T172" i="5"/>
  <c r="AB197" i="5"/>
  <c r="X194" i="5"/>
  <c r="T191" i="5"/>
  <c r="AB181" i="5"/>
  <c r="X178" i="5"/>
  <c r="T175" i="5"/>
  <c r="AB200" i="5"/>
  <c r="X197" i="5"/>
  <c r="T194" i="5"/>
  <c r="AB184" i="5"/>
  <c r="X181" i="5"/>
  <c r="T178" i="5"/>
  <c r="AB168" i="5"/>
  <c r="AB203" i="5"/>
  <c r="X200" i="5"/>
  <c r="T197" i="5"/>
  <c r="AB187" i="5"/>
  <c r="X184" i="5"/>
  <c r="T181" i="5"/>
  <c r="AB171" i="5"/>
  <c r="X168" i="5"/>
  <c r="T165" i="5"/>
  <c r="AB155" i="5"/>
  <c r="T200" i="5"/>
  <c r="AB174" i="5"/>
  <c r="X163" i="5"/>
  <c r="X139" i="5"/>
  <c r="AB129" i="5"/>
  <c r="X126" i="5"/>
  <c r="T123" i="5"/>
  <c r="AB113" i="5"/>
  <c r="X110" i="5"/>
  <c r="X174" i="5"/>
  <c r="X203" i="5"/>
  <c r="AB196" i="5"/>
  <c r="T184" i="5"/>
  <c r="T174" i="5"/>
  <c r="X171" i="5"/>
  <c r="AB167" i="5"/>
  <c r="X164" i="5"/>
  <c r="T143" i="5"/>
  <c r="AB135" i="5"/>
  <c r="X132" i="5"/>
  <c r="T129" i="5"/>
  <c r="AB119" i="5"/>
  <c r="X116" i="5"/>
  <c r="T113" i="5"/>
  <c r="T203" i="5"/>
  <c r="AB193" i="5"/>
  <c r="T187" i="5"/>
  <c r="X158" i="5"/>
  <c r="AB142" i="5"/>
  <c r="X138" i="5"/>
  <c r="T135" i="5"/>
  <c r="X193" i="5"/>
  <c r="AB190" i="5"/>
  <c r="X190" i="5"/>
  <c r="AB180" i="5"/>
  <c r="X165" i="5"/>
  <c r="T159" i="5"/>
  <c r="T142" i="5"/>
  <c r="AB131" i="5"/>
  <c r="T190" i="5"/>
  <c r="T160" i="5"/>
  <c r="X152" i="5"/>
  <c r="AB151" i="5"/>
  <c r="X149" i="5"/>
  <c r="X148" i="5"/>
  <c r="X147" i="5"/>
  <c r="AB146" i="5"/>
  <c r="AB141" i="5"/>
  <c r="AB137" i="5"/>
  <c r="X134" i="5"/>
  <c r="T131" i="5"/>
  <c r="AB121" i="5"/>
  <c r="X118" i="5"/>
  <c r="T115" i="5"/>
  <c r="AB154" i="5"/>
  <c r="AB153" i="5"/>
  <c r="T152" i="5"/>
  <c r="X151" i="5"/>
  <c r="AB150" i="5"/>
  <c r="T149" i="5"/>
  <c r="T148" i="5"/>
  <c r="T147" i="5"/>
  <c r="X146" i="5"/>
  <c r="AB145" i="5"/>
  <c r="X141" i="5"/>
  <c r="X137" i="5"/>
  <c r="AB177" i="5"/>
  <c r="T171" i="5"/>
  <c r="X155" i="5"/>
  <c r="AB139" i="5"/>
  <c r="T119" i="5"/>
  <c r="T118" i="5"/>
  <c r="AB117" i="5"/>
  <c r="AB106" i="5"/>
  <c r="X103" i="5"/>
  <c r="T100" i="5"/>
  <c r="AB90" i="5"/>
  <c r="X167" i="5"/>
  <c r="AB164" i="5"/>
  <c r="AB162" i="5"/>
  <c r="T155" i="5"/>
  <c r="X143" i="5"/>
  <c r="T139" i="5"/>
  <c r="X117" i="5"/>
  <c r="X106" i="5"/>
  <c r="T103" i="5"/>
  <c r="AB93" i="5"/>
  <c r="X90" i="5"/>
  <c r="T87" i="5"/>
  <c r="T164" i="5"/>
  <c r="X162" i="5"/>
  <c r="X150" i="5"/>
  <c r="AB130" i="5"/>
  <c r="T117" i="5"/>
  <c r="AB116" i="5"/>
  <c r="AB115" i="5"/>
  <c r="T106" i="5"/>
  <c r="AB96" i="5"/>
  <c r="X93" i="5"/>
  <c r="T90" i="5"/>
  <c r="AB148" i="5"/>
  <c r="T144" i="5"/>
  <c r="T140" i="5"/>
  <c r="T134" i="5"/>
  <c r="T133" i="5"/>
  <c r="T132" i="5"/>
  <c r="X128" i="5"/>
  <c r="AB158" i="5"/>
  <c r="T156" i="5"/>
  <c r="T145" i="5"/>
  <c r="X136" i="5"/>
  <c r="X127" i="5"/>
  <c r="AB126" i="5"/>
  <c r="T112" i="5"/>
  <c r="AB111" i="5"/>
  <c r="T105" i="5"/>
  <c r="AB95" i="5"/>
  <c r="X161" i="5"/>
  <c r="AB144" i="5"/>
  <c r="T122" i="5"/>
  <c r="AB112" i="5"/>
  <c r="AB98" i="5"/>
  <c r="AB97" i="5"/>
  <c r="T95" i="5"/>
  <c r="X94" i="5"/>
  <c r="AB92" i="5"/>
  <c r="T85" i="5"/>
  <c r="AB79" i="5"/>
  <c r="X76" i="5"/>
  <c r="T73" i="5"/>
  <c r="T161" i="5"/>
  <c r="X154" i="5"/>
  <c r="X144" i="5"/>
  <c r="AB138" i="5"/>
  <c r="X135" i="5"/>
  <c r="AB128" i="5"/>
  <c r="AB123" i="5"/>
  <c r="X112" i="5"/>
  <c r="AB105" i="5"/>
  <c r="AB104" i="5"/>
  <c r="AB102" i="5"/>
  <c r="AB101" i="5"/>
  <c r="AB100" i="5"/>
  <c r="AB99" i="5"/>
  <c r="X98" i="5"/>
  <c r="X97" i="5"/>
  <c r="X96" i="5"/>
  <c r="T94" i="5"/>
  <c r="T93" i="5"/>
  <c r="X92" i="5"/>
  <c r="AB84" i="5"/>
  <c r="X79" i="5"/>
  <c r="T76" i="5"/>
  <c r="X177" i="5"/>
  <c r="T163" i="5"/>
  <c r="X142" i="5"/>
  <c r="T138" i="5"/>
  <c r="T128" i="5"/>
  <c r="X123" i="5"/>
  <c r="X113" i="5"/>
  <c r="X105" i="5"/>
  <c r="X104" i="5"/>
  <c r="AB103" i="5"/>
  <c r="X102" i="5"/>
  <c r="X101" i="5"/>
  <c r="X100" i="5"/>
  <c r="X99" i="5"/>
  <c r="T98" i="5"/>
  <c r="T97" i="5"/>
  <c r="T96" i="5"/>
  <c r="T92" i="5"/>
  <c r="AB91" i="5"/>
  <c r="AB149" i="5"/>
  <c r="AB136" i="5"/>
  <c r="X129" i="5"/>
  <c r="X124" i="5"/>
  <c r="T114" i="5"/>
  <c r="X187" i="5"/>
  <c r="AB170" i="5"/>
  <c r="T158" i="5"/>
  <c r="T151" i="5"/>
  <c r="AB125" i="5"/>
  <c r="AB109" i="5"/>
  <c r="AB152" i="5"/>
  <c r="T120" i="5"/>
  <c r="T107" i="5"/>
  <c r="T89" i="5"/>
  <c r="X88" i="5"/>
  <c r="AB87" i="5"/>
  <c r="AB86" i="5"/>
  <c r="AB85" i="5"/>
  <c r="X84" i="5"/>
  <c r="AB83" i="5"/>
  <c r="T75" i="5"/>
  <c r="T69" i="5"/>
  <c r="X68" i="5"/>
  <c r="AB64" i="5"/>
  <c r="X61" i="5"/>
  <c r="T58" i="5"/>
  <c r="AB108" i="5"/>
  <c r="T88" i="5"/>
  <c r="X87" i="5"/>
  <c r="X86" i="5"/>
  <c r="X85" i="5"/>
  <c r="T84" i="5"/>
  <c r="X83" i="5"/>
  <c r="AB82" i="5"/>
  <c r="AB74" i="5"/>
  <c r="T68" i="5"/>
  <c r="X64" i="5"/>
  <c r="T61" i="5"/>
  <c r="AB51" i="5"/>
  <c r="X48" i="5"/>
  <c r="T45" i="5"/>
  <c r="X121" i="5"/>
  <c r="T116" i="5"/>
  <c r="X108" i="5"/>
  <c r="T99" i="5"/>
  <c r="AB94" i="5"/>
  <c r="T86" i="5"/>
  <c r="T83" i="5"/>
  <c r="X82" i="5"/>
  <c r="AB81" i="5"/>
  <c r="X74" i="5"/>
  <c r="AB67" i="5"/>
  <c r="T64" i="5"/>
  <c r="AB54" i="5"/>
  <c r="X51" i="5"/>
  <c r="T48" i="5"/>
  <c r="AB134" i="5"/>
  <c r="T126" i="5"/>
  <c r="X91" i="5"/>
  <c r="X114" i="5"/>
  <c r="T109" i="5"/>
  <c r="X95" i="5"/>
  <c r="AB78" i="5"/>
  <c r="X72" i="5"/>
  <c r="X66" i="5"/>
  <c r="T63" i="5"/>
  <c r="AB53" i="5"/>
  <c r="X50" i="5"/>
  <c r="T168" i="5"/>
  <c r="T124" i="5"/>
  <c r="T111" i="5"/>
  <c r="X80" i="5"/>
  <c r="AB73" i="5"/>
  <c r="T72" i="5"/>
  <c r="T47" i="5"/>
  <c r="AB42" i="5"/>
  <c r="X39" i="5"/>
  <c r="T36" i="5"/>
  <c r="AB26" i="5"/>
  <c r="X23" i="5"/>
  <c r="T20" i="5"/>
  <c r="X145" i="5"/>
  <c r="AB133" i="5"/>
  <c r="T80" i="5"/>
  <c r="X73" i="5"/>
  <c r="AB56" i="5"/>
  <c r="AB46" i="5"/>
  <c r="X42" i="5"/>
  <c r="T39" i="5"/>
  <c r="AB29" i="5"/>
  <c r="X26" i="5"/>
  <c r="T23" i="5"/>
  <c r="X133" i="5"/>
  <c r="X81" i="5"/>
  <c r="AB63" i="5"/>
  <c r="AB62" i="5"/>
  <c r="AB60" i="5"/>
  <c r="AB59" i="5"/>
  <c r="AB58" i="5"/>
  <c r="AB57" i="5"/>
  <c r="X56" i="5"/>
  <c r="AB55" i="5"/>
  <c r="X46" i="5"/>
  <c r="T42" i="5"/>
  <c r="AB32" i="5"/>
  <c r="X29" i="5"/>
  <c r="T26" i="5"/>
  <c r="X130" i="5"/>
  <c r="T110" i="5"/>
  <c r="T108" i="5"/>
  <c r="X89" i="5"/>
  <c r="AB75" i="5"/>
  <c r="T67" i="5"/>
  <c r="T65" i="5"/>
  <c r="T54" i="5"/>
  <c r="T53" i="5"/>
  <c r="AB52" i="5"/>
  <c r="X45" i="5"/>
  <c r="AB41" i="5"/>
  <c r="X38" i="5"/>
  <c r="T35" i="5"/>
  <c r="T9" i="5"/>
  <c r="X12" i="5"/>
  <c r="AB15" i="5"/>
  <c r="X25" i="5"/>
  <c r="T27" i="5"/>
  <c r="X47" i="5"/>
  <c r="T57" i="5"/>
  <c r="AB88" i="5"/>
  <c r="X111" i="5"/>
  <c r="AW123" i="5"/>
  <c r="T16" i="5"/>
  <c r="X28" i="5"/>
  <c r="T29" i="5"/>
  <c r="T30" i="5"/>
  <c r="T46" i="5"/>
  <c r="X53" i="5"/>
  <c r="X60" i="5"/>
  <c r="X71" i="5"/>
  <c r="X77" i="5"/>
  <c r="AB114" i="5"/>
  <c r="AB127" i="5"/>
  <c r="AB140" i="5"/>
  <c r="AM183" i="5"/>
  <c r="BA183" i="5" s="1"/>
  <c r="AB122" i="5"/>
  <c r="T125" i="5"/>
  <c r="X30" i="5"/>
  <c r="T91" i="5"/>
  <c r="T101" i="5"/>
  <c r="X122" i="5"/>
  <c r="T10" i="5"/>
  <c r="X13" i="5"/>
  <c r="AB16" i="5"/>
  <c r="T17" i="5"/>
  <c r="AW26" i="5"/>
  <c r="AB30" i="5"/>
  <c r="T31" i="5"/>
  <c r="T32" i="5"/>
  <c r="T52" i="5"/>
  <c r="X67" i="5"/>
  <c r="T104" i="5"/>
  <c r="T7" i="5"/>
  <c r="X10" i="5"/>
  <c r="AB13" i="5"/>
  <c r="X17" i="5"/>
  <c r="X31" i="5"/>
  <c r="X32" i="5"/>
  <c r="T33" i="5"/>
  <c r="AB45" i="5"/>
  <c r="X52" i="5"/>
  <c r="X63" i="5"/>
  <c r="X109" i="5"/>
  <c r="X125" i="5"/>
  <c r="AB71" i="5"/>
  <c r="AB89" i="5"/>
  <c r="X120" i="5"/>
  <c r="T141" i="5"/>
  <c r="T44" i="5"/>
  <c r="AM112" i="5"/>
  <c r="BA112" i="5" s="1"/>
  <c r="AB120" i="5"/>
  <c r="AB165" i="5"/>
  <c r="T127" i="5"/>
  <c r="AB6" i="5"/>
  <c r="T13" i="5"/>
  <c r="X7" i="5"/>
  <c r="AB10" i="5"/>
  <c r="AB17" i="5"/>
  <c r="T19" i="5"/>
  <c r="X33" i="5"/>
  <c r="T43" i="5"/>
  <c r="T56" i="5"/>
  <c r="T70" i="5"/>
  <c r="AW29" i="5"/>
  <c r="X70" i="5"/>
  <c r="AB76" i="5"/>
  <c r="T79" i="5"/>
  <c r="T102" i="5"/>
  <c r="AB4" i="5"/>
  <c r="T14" i="5"/>
  <c r="AB18" i="5"/>
  <c r="AB19" i="5"/>
  <c r="X20" i="5"/>
  <c r="X34" i="5"/>
  <c r="AB35" i="5"/>
  <c r="X36" i="5"/>
  <c r="T37" i="5"/>
  <c r="T38" i="5"/>
  <c r="AB39" i="5"/>
  <c r="X40" i="5"/>
  <c r="T41" i="5"/>
  <c r="AB43" i="5"/>
  <c r="AB44" i="5"/>
  <c r="AB66" i="5"/>
  <c r="AB70" i="5"/>
  <c r="AW71" i="5"/>
  <c r="X107" i="5"/>
  <c r="AB118" i="5"/>
  <c r="AM120" i="5"/>
  <c r="BA120" i="5" s="1"/>
  <c r="X131" i="5"/>
  <c r="T137" i="5"/>
  <c r="AB161" i="5"/>
  <c r="X16" i="5"/>
  <c r="T18" i="5"/>
  <c r="AB7" i="5"/>
  <c r="X18" i="5"/>
  <c r="T34" i="5"/>
  <c r="X35" i="5"/>
  <c r="T40" i="5"/>
  <c r="X43" i="5"/>
  <c r="X44" i="5"/>
  <c r="T51" i="5"/>
  <c r="X59" i="5"/>
  <c r="T66" i="5"/>
  <c r="T11" i="5"/>
  <c r="X14" i="5"/>
  <c r="AB20" i="5"/>
  <c r="T21" i="5"/>
  <c r="AB34" i="5"/>
  <c r="AB36" i="5"/>
  <c r="X37" i="5"/>
  <c r="AB38" i="5"/>
  <c r="AB40" i="5"/>
  <c r="X41" i="5"/>
  <c r="T50" i="5"/>
  <c r="T62" i="5"/>
  <c r="X69" i="5"/>
  <c r="T81" i="5"/>
  <c r="AB107" i="5"/>
  <c r="X115" i="5"/>
  <c r="AM137" i="5"/>
  <c r="BA137" i="5" s="1"/>
  <c r="T130" i="5"/>
  <c r="AB28" i="5"/>
  <c r="AB77" i="5"/>
  <c r="T82" i="5"/>
  <c r="T4" i="5"/>
  <c r="AB31" i="5"/>
  <c r="T59" i="5"/>
  <c r="X4" i="5"/>
  <c r="X19" i="5"/>
  <c r="AB33" i="5"/>
  <c r="AW93" i="5"/>
  <c r="T8" i="5"/>
  <c r="X11" i="5"/>
  <c r="AB14" i="5"/>
  <c r="X21" i="5"/>
  <c r="T22" i="5"/>
  <c r="AB37" i="5"/>
  <c r="T49" i="5"/>
  <c r="AB50" i="5"/>
  <c r="T55" i="5"/>
  <c r="X62" i="5"/>
  <c r="AB69" i="5"/>
  <c r="AW96" i="5"/>
  <c r="AW111" i="5"/>
  <c r="AM141" i="5"/>
  <c r="BA141" i="5" s="1"/>
  <c r="AW164" i="5"/>
  <c r="AM193" i="5"/>
  <c r="BA193" i="5" s="1"/>
  <c r="AW51" i="5"/>
  <c r="AW68" i="5"/>
  <c r="AW158" i="5"/>
  <c r="AM44" i="5"/>
  <c r="BA44" i="5" s="1"/>
  <c r="AM119" i="5"/>
  <c r="BA119" i="5" s="1"/>
  <c r="AW94" i="5"/>
  <c r="AW110" i="5"/>
  <c r="AM111" i="5"/>
  <c r="BA111" i="5" s="1"/>
  <c r="AM180" i="5"/>
  <c r="BA180" i="5" s="1"/>
  <c r="AW95" i="5"/>
  <c r="AW121" i="5"/>
  <c r="AM156" i="5"/>
  <c r="BA156" i="5" s="1"/>
  <c r="AM177" i="5"/>
  <c r="BA177" i="5" s="1"/>
  <c r="AM151" i="5"/>
  <c r="BA151" i="5" s="1"/>
  <c r="AM167" i="5"/>
  <c r="BA167" i="5" s="1"/>
  <c r="AW166" i="5"/>
  <c r="AM149" i="5"/>
  <c r="BA149" i="5" s="1"/>
  <c r="AW189" i="5"/>
  <c r="AW192" i="5"/>
  <c r="AM165" i="5"/>
  <c r="BA165" i="5" s="1"/>
  <c r="AW173" i="5"/>
  <c r="AM196" i="5"/>
  <c r="BA196" i="5" s="1"/>
  <c r="B11" i="6"/>
  <c r="C11" i="6"/>
  <c r="B12" i="6"/>
  <c r="C12" i="6"/>
  <c r="B13" i="6"/>
  <c r="C13" i="6"/>
  <c r="BC60" i="5" l="1"/>
  <c r="AP5" i="5"/>
  <c r="AQ5" i="5" s="1"/>
  <c r="AS5" i="5" s="1"/>
  <c r="AX5" i="5" s="1"/>
  <c r="AY5" i="5" s="1"/>
  <c r="AO56" i="5"/>
  <c r="AN56" i="5"/>
  <c r="AZ56" i="5" s="1"/>
  <c r="AR56" i="5"/>
  <c r="AO98" i="5"/>
  <c r="AN98" i="5"/>
  <c r="AZ98" i="5" s="1"/>
  <c r="AR98" i="5"/>
  <c r="AN150" i="5"/>
  <c r="AZ150" i="5" s="1"/>
  <c r="AR150" i="5"/>
  <c r="AO150" i="5"/>
  <c r="AO103" i="5"/>
  <c r="AR103" i="5"/>
  <c r="AN103" i="5"/>
  <c r="AZ103" i="5" s="1"/>
  <c r="AR189" i="5"/>
  <c r="AO189" i="5"/>
  <c r="AN189" i="5"/>
  <c r="AZ189" i="5" s="1"/>
  <c r="AO50" i="5"/>
  <c r="AN50" i="5"/>
  <c r="AZ50" i="5" s="1"/>
  <c r="AR50" i="5"/>
  <c r="AR48" i="5"/>
  <c r="AO48" i="5"/>
  <c r="AN48" i="5"/>
  <c r="AZ48" i="5" s="1"/>
  <c r="AN159" i="5"/>
  <c r="AZ159" i="5" s="1"/>
  <c r="AR159" i="5"/>
  <c r="AO159" i="5"/>
  <c r="AO129" i="5"/>
  <c r="AN129" i="5"/>
  <c r="AZ129" i="5" s="1"/>
  <c r="AR129" i="5"/>
  <c r="AN178" i="5"/>
  <c r="AZ178" i="5" s="1"/>
  <c r="AO178" i="5"/>
  <c r="AR178" i="5"/>
  <c r="AR183" i="5"/>
  <c r="AO183" i="5"/>
  <c r="AN183" i="5"/>
  <c r="AZ183" i="5" s="1"/>
  <c r="AN78" i="5"/>
  <c r="AZ78" i="5" s="1"/>
  <c r="AR78" i="5"/>
  <c r="AO78" i="5"/>
  <c r="AR122" i="5"/>
  <c r="AN122" i="5"/>
  <c r="AZ122" i="5" s="1"/>
  <c r="AO122" i="5"/>
  <c r="AR158" i="5"/>
  <c r="AN158" i="5"/>
  <c r="AZ158" i="5" s="1"/>
  <c r="AO158" i="5"/>
  <c r="AR166" i="5"/>
  <c r="AO166" i="5"/>
  <c r="AN166" i="5"/>
  <c r="AZ166" i="5" s="1"/>
  <c r="AR72" i="5"/>
  <c r="AO72" i="5"/>
  <c r="AN72" i="5"/>
  <c r="AZ72" i="5" s="1"/>
  <c r="AR66" i="5"/>
  <c r="AO66" i="5"/>
  <c r="AN66" i="5"/>
  <c r="AZ66" i="5" s="1"/>
  <c r="AO105" i="5"/>
  <c r="AR105" i="5"/>
  <c r="AN105" i="5"/>
  <c r="AZ105" i="5" s="1"/>
  <c r="AN69" i="5"/>
  <c r="AZ69" i="5" s="1"/>
  <c r="AR69" i="5"/>
  <c r="AO69" i="5"/>
  <c r="AR154" i="5"/>
  <c r="AN154" i="5"/>
  <c r="AZ154" i="5" s="1"/>
  <c r="AO154" i="5"/>
  <c r="AO71" i="5"/>
  <c r="AN71" i="5"/>
  <c r="AZ71" i="5" s="1"/>
  <c r="AR71" i="5"/>
  <c r="AO140" i="5"/>
  <c r="AN140" i="5"/>
  <c r="AZ140" i="5" s="1"/>
  <c r="AR140" i="5"/>
  <c r="AO168" i="5"/>
  <c r="AN168" i="5"/>
  <c r="AZ168" i="5" s="1"/>
  <c r="AR168" i="5"/>
  <c r="AR64" i="5"/>
  <c r="AN64" i="5"/>
  <c r="AZ64" i="5" s="1"/>
  <c r="AO64" i="5"/>
  <c r="AN75" i="5"/>
  <c r="AZ75" i="5" s="1"/>
  <c r="AR75" i="5"/>
  <c r="AO75" i="5"/>
  <c r="AR73" i="5"/>
  <c r="AO73" i="5"/>
  <c r="AN73" i="5"/>
  <c r="AZ73" i="5" s="1"/>
  <c r="AR112" i="5"/>
  <c r="AO112" i="5"/>
  <c r="AN112" i="5"/>
  <c r="AZ112" i="5" s="1"/>
  <c r="AR143" i="5"/>
  <c r="AO143" i="5"/>
  <c r="AN143" i="5"/>
  <c r="AZ143" i="5" s="1"/>
  <c r="AO194" i="5"/>
  <c r="AN194" i="5"/>
  <c r="AZ194" i="5" s="1"/>
  <c r="AR194" i="5"/>
  <c r="AR199" i="5"/>
  <c r="AO199" i="5"/>
  <c r="AN199" i="5"/>
  <c r="AZ199" i="5" s="1"/>
  <c r="AR77" i="5"/>
  <c r="AO77" i="5"/>
  <c r="AN77" i="5"/>
  <c r="AZ77" i="5" s="1"/>
  <c r="AR47" i="5"/>
  <c r="AN47" i="5"/>
  <c r="AZ47" i="5" s="1"/>
  <c r="AO47" i="5"/>
  <c r="AO113" i="5"/>
  <c r="AR113" i="5"/>
  <c r="AN113" i="5"/>
  <c r="AZ113" i="5" s="1"/>
  <c r="AO74" i="5"/>
  <c r="AN74" i="5"/>
  <c r="AZ74" i="5" s="1"/>
  <c r="AR74" i="5"/>
  <c r="AR55" i="5"/>
  <c r="AO55" i="5"/>
  <c r="AN55" i="5"/>
  <c r="AZ55" i="5" s="1"/>
  <c r="AR35" i="5"/>
  <c r="AN35" i="5"/>
  <c r="AZ35" i="5" s="1"/>
  <c r="AO35" i="5"/>
  <c r="AR144" i="5"/>
  <c r="AN144" i="5"/>
  <c r="AZ144" i="5" s="1"/>
  <c r="AO144" i="5"/>
  <c r="AR42" i="5"/>
  <c r="AO42" i="5"/>
  <c r="AN42" i="5"/>
  <c r="AZ42" i="5" s="1"/>
  <c r="AO61" i="5"/>
  <c r="AR61" i="5"/>
  <c r="AN61" i="5"/>
  <c r="AZ61" i="5" s="1"/>
  <c r="AR139" i="5"/>
  <c r="AN139" i="5"/>
  <c r="AZ139" i="5" s="1"/>
  <c r="AO139" i="5"/>
  <c r="AR176" i="5"/>
  <c r="AO176" i="5"/>
  <c r="AN176" i="5"/>
  <c r="AZ176" i="5" s="1"/>
  <c r="AR14" i="5"/>
  <c r="AO14" i="5"/>
  <c r="AN14" i="5"/>
  <c r="AZ14" i="5" s="1"/>
  <c r="AR16" i="5"/>
  <c r="AO16" i="5"/>
  <c r="AN16" i="5"/>
  <c r="AZ16" i="5" s="1"/>
  <c r="AR22" i="5"/>
  <c r="AN22" i="5"/>
  <c r="AZ22" i="5" s="1"/>
  <c r="AO22" i="5"/>
  <c r="AO40" i="5"/>
  <c r="AN40" i="5"/>
  <c r="AZ40" i="5" s="1"/>
  <c r="AR40" i="5"/>
  <c r="AR13" i="5"/>
  <c r="AO13" i="5"/>
  <c r="AN13" i="5"/>
  <c r="AZ13" i="5" s="1"/>
  <c r="AR52" i="5"/>
  <c r="AO52" i="5"/>
  <c r="AN52" i="5"/>
  <c r="AZ52" i="5" s="1"/>
  <c r="AO53" i="5"/>
  <c r="AN53" i="5"/>
  <c r="AZ53" i="5" s="1"/>
  <c r="AR53" i="5"/>
  <c r="AR80" i="5"/>
  <c r="AO80" i="5"/>
  <c r="AN80" i="5"/>
  <c r="AZ80" i="5" s="1"/>
  <c r="AN68" i="5"/>
  <c r="AZ68" i="5" s="1"/>
  <c r="AO68" i="5"/>
  <c r="AR68" i="5"/>
  <c r="AR114" i="5"/>
  <c r="AO114" i="5"/>
  <c r="AN114" i="5"/>
  <c r="AZ114" i="5" s="1"/>
  <c r="AR106" i="5"/>
  <c r="AO106" i="5"/>
  <c r="AN106" i="5"/>
  <c r="AZ106" i="5" s="1"/>
  <c r="AO155" i="5"/>
  <c r="AR155" i="5"/>
  <c r="AN155" i="5"/>
  <c r="AZ155" i="5" s="1"/>
  <c r="AR200" i="5"/>
  <c r="AO200" i="5"/>
  <c r="AN200" i="5"/>
  <c r="AZ200" i="5" s="1"/>
  <c r="AN153" i="5"/>
  <c r="AZ153" i="5" s="1"/>
  <c r="AR153" i="5"/>
  <c r="AO153" i="5"/>
  <c r="AR182" i="5"/>
  <c r="AO182" i="5"/>
  <c r="AN182" i="5"/>
  <c r="AZ182" i="5" s="1"/>
  <c r="AN25" i="5"/>
  <c r="AZ25" i="5" s="1"/>
  <c r="AO25" i="5"/>
  <c r="AR25" i="5"/>
  <c r="AN162" i="5"/>
  <c r="AZ162" i="5" s="1"/>
  <c r="AO162" i="5"/>
  <c r="AR162" i="5"/>
  <c r="AN118" i="5"/>
  <c r="AZ118" i="5" s="1"/>
  <c r="AR118" i="5"/>
  <c r="AO118" i="5"/>
  <c r="AN115" i="5"/>
  <c r="AZ115" i="5" s="1"/>
  <c r="AR115" i="5"/>
  <c r="AO115" i="5"/>
  <c r="AR7" i="5"/>
  <c r="AO7" i="5"/>
  <c r="AN7" i="5"/>
  <c r="AZ7" i="5" s="1"/>
  <c r="AO29" i="5"/>
  <c r="AN29" i="5"/>
  <c r="AZ29" i="5" s="1"/>
  <c r="AR29" i="5"/>
  <c r="AR94" i="5"/>
  <c r="AO94" i="5"/>
  <c r="AN94" i="5"/>
  <c r="AZ94" i="5" s="1"/>
  <c r="AN124" i="5"/>
  <c r="AZ124" i="5" s="1"/>
  <c r="AR124" i="5"/>
  <c r="AO124" i="5"/>
  <c r="AR161" i="5"/>
  <c r="AN161" i="5"/>
  <c r="AZ161" i="5" s="1"/>
  <c r="AO161" i="5"/>
  <c r="AR136" i="5"/>
  <c r="AN136" i="5"/>
  <c r="AZ136" i="5" s="1"/>
  <c r="AO136" i="5"/>
  <c r="AN134" i="5"/>
  <c r="AZ134" i="5" s="1"/>
  <c r="AO134" i="5"/>
  <c r="AR134" i="5"/>
  <c r="AR193" i="5"/>
  <c r="AO193" i="5"/>
  <c r="AN193" i="5"/>
  <c r="AZ193" i="5" s="1"/>
  <c r="AR4" i="5"/>
  <c r="AN4" i="5"/>
  <c r="AZ4" i="5" s="1"/>
  <c r="AO4" i="5"/>
  <c r="AR39" i="5"/>
  <c r="AN39" i="5"/>
  <c r="AZ39" i="5" s="1"/>
  <c r="AO39" i="5"/>
  <c r="AR49" i="5"/>
  <c r="AO49" i="5"/>
  <c r="AN49" i="5"/>
  <c r="AZ49" i="5" s="1"/>
  <c r="AO151" i="5"/>
  <c r="AR151" i="5"/>
  <c r="AN151" i="5"/>
  <c r="AZ151" i="5" s="1"/>
  <c r="AO111" i="5"/>
  <c r="AN111" i="5"/>
  <c r="AZ111" i="5" s="1"/>
  <c r="AR111" i="5"/>
  <c r="AO104" i="5"/>
  <c r="AR104" i="5"/>
  <c r="AN104" i="5"/>
  <c r="AZ104" i="5" s="1"/>
  <c r="AR26" i="5"/>
  <c r="AO26" i="5"/>
  <c r="AN26" i="5"/>
  <c r="AZ26" i="5" s="1"/>
  <c r="AR190" i="5"/>
  <c r="AO190" i="5"/>
  <c r="AN190" i="5"/>
  <c r="AZ190" i="5" s="1"/>
  <c r="AO62" i="5"/>
  <c r="AR62" i="5"/>
  <c r="AN62" i="5"/>
  <c r="AZ62" i="5" s="1"/>
  <c r="AN126" i="5"/>
  <c r="AZ126" i="5" s="1"/>
  <c r="AO126" i="5"/>
  <c r="AR126" i="5"/>
  <c r="AR123" i="5"/>
  <c r="AO123" i="5"/>
  <c r="AN123" i="5"/>
  <c r="AZ123" i="5" s="1"/>
  <c r="AR142" i="5"/>
  <c r="AN142" i="5"/>
  <c r="AZ142" i="5" s="1"/>
  <c r="AO142" i="5"/>
  <c r="AR30" i="5"/>
  <c r="AN30" i="5"/>
  <c r="AZ30" i="5" s="1"/>
  <c r="AO30" i="5"/>
  <c r="AN51" i="5"/>
  <c r="AZ51" i="5" s="1"/>
  <c r="AR51" i="5"/>
  <c r="AO51" i="5"/>
  <c r="AR90" i="5"/>
  <c r="AN90" i="5"/>
  <c r="AZ90" i="5" s="1"/>
  <c r="AO90" i="5"/>
  <c r="AR180" i="5"/>
  <c r="AO180" i="5"/>
  <c r="AN180" i="5"/>
  <c r="AZ180" i="5" s="1"/>
  <c r="AR67" i="5"/>
  <c r="AO67" i="5"/>
  <c r="AN67" i="5"/>
  <c r="AZ67" i="5" s="1"/>
  <c r="AR20" i="5"/>
  <c r="AO20" i="5"/>
  <c r="AN20" i="5"/>
  <c r="AZ20" i="5" s="1"/>
  <c r="AR128" i="5"/>
  <c r="AO128" i="5"/>
  <c r="AN128" i="5"/>
  <c r="AZ128" i="5" s="1"/>
  <c r="AN145" i="5"/>
  <c r="AZ145" i="5" s="1"/>
  <c r="AR145" i="5"/>
  <c r="AO145" i="5"/>
  <c r="AR117" i="5"/>
  <c r="AO117" i="5"/>
  <c r="AN117" i="5"/>
  <c r="AZ117" i="5" s="1"/>
  <c r="AO147" i="5"/>
  <c r="AR147" i="5"/>
  <c r="AN147" i="5"/>
  <c r="AZ147" i="5" s="1"/>
  <c r="AR174" i="5"/>
  <c r="AO174" i="5"/>
  <c r="AN174" i="5"/>
  <c r="AZ174" i="5" s="1"/>
  <c r="AR169" i="5"/>
  <c r="AO169" i="5"/>
  <c r="AN169" i="5"/>
  <c r="AZ169" i="5" s="1"/>
  <c r="AR198" i="5"/>
  <c r="AO198" i="5"/>
  <c r="AN198" i="5"/>
  <c r="AZ198" i="5" s="1"/>
  <c r="AR116" i="5"/>
  <c r="AO116" i="5"/>
  <c r="AN116" i="5"/>
  <c r="AZ116" i="5" s="1"/>
  <c r="AO28" i="5"/>
  <c r="AN28" i="5"/>
  <c r="AZ28" i="5" s="1"/>
  <c r="AR28" i="5"/>
  <c r="AO9" i="5"/>
  <c r="AN9" i="5"/>
  <c r="AZ9" i="5" s="1"/>
  <c r="AR9" i="5"/>
  <c r="AO101" i="5"/>
  <c r="AN101" i="5"/>
  <c r="AZ101" i="5" s="1"/>
  <c r="AR101" i="5"/>
  <c r="AO171" i="5"/>
  <c r="AN171" i="5"/>
  <c r="AZ171" i="5" s="1"/>
  <c r="AR171" i="5"/>
  <c r="AN82" i="5"/>
  <c r="AZ82" i="5" s="1"/>
  <c r="AO82" i="5"/>
  <c r="AR82" i="5"/>
  <c r="AO131" i="5"/>
  <c r="AN131" i="5"/>
  <c r="AZ131" i="5" s="1"/>
  <c r="AR131" i="5"/>
  <c r="AR32" i="5"/>
  <c r="AO32" i="5"/>
  <c r="AN32" i="5"/>
  <c r="AZ32" i="5" s="1"/>
  <c r="AO34" i="5"/>
  <c r="AN34" i="5"/>
  <c r="AZ34" i="5" s="1"/>
  <c r="AR34" i="5"/>
  <c r="AO135" i="5"/>
  <c r="AN135" i="5"/>
  <c r="AZ135" i="5" s="1"/>
  <c r="AR135" i="5"/>
  <c r="AO21" i="5"/>
  <c r="AN21" i="5"/>
  <c r="AZ21" i="5" s="1"/>
  <c r="AR21" i="5"/>
  <c r="AR41" i="5"/>
  <c r="AO41" i="5"/>
  <c r="AN41" i="5"/>
  <c r="AZ41" i="5" s="1"/>
  <c r="AN57" i="5"/>
  <c r="AZ57" i="5" s="1"/>
  <c r="AO57" i="5"/>
  <c r="AR57" i="5"/>
  <c r="AR83" i="5"/>
  <c r="AO83" i="5"/>
  <c r="AN83" i="5"/>
  <c r="AZ83" i="5" s="1"/>
  <c r="AR84" i="5"/>
  <c r="AO84" i="5"/>
  <c r="AN84" i="5"/>
  <c r="AZ84" i="5" s="1"/>
  <c r="AR138" i="5"/>
  <c r="AO138" i="5"/>
  <c r="AN138" i="5"/>
  <c r="AZ138" i="5" s="1"/>
  <c r="AR156" i="5"/>
  <c r="AN156" i="5"/>
  <c r="AZ156" i="5" s="1"/>
  <c r="AO156" i="5"/>
  <c r="AR148" i="5"/>
  <c r="AO148" i="5"/>
  <c r="AN148" i="5"/>
  <c r="AZ148" i="5" s="1"/>
  <c r="AR184" i="5"/>
  <c r="AO184" i="5"/>
  <c r="AN184" i="5"/>
  <c r="AZ184" i="5" s="1"/>
  <c r="AR186" i="5"/>
  <c r="AO186" i="5"/>
  <c r="AN186" i="5"/>
  <c r="AZ186" i="5" s="1"/>
  <c r="AR196" i="5"/>
  <c r="AO196" i="5"/>
  <c r="AN196" i="5"/>
  <c r="AZ196" i="5" s="1"/>
  <c r="AN12" i="5"/>
  <c r="AZ12" i="5" s="1"/>
  <c r="AO12" i="5"/>
  <c r="AR12" i="5"/>
  <c r="AN5" i="5"/>
  <c r="AZ5" i="5" s="1"/>
  <c r="AR167" i="5"/>
  <c r="AO167" i="5"/>
  <c r="AN167" i="5"/>
  <c r="AZ167" i="5" s="1"/>
  <c r="AR43" i="5"/>
  <c r="AO43" i="5"/>
  <c r="AN43" i="5"/>
  <c r="AZ43" i="5" s="1"/>
  <c r="AR195" i="5"/>
  <c r="AO195" i="5"/>
  <c r="AN195" i="5"/>
  <c r="AZ195" i="5" s="1"/>
  <c r="AR45" i="5"/>
  <c r="AO45" i="5"/>
  <c r="AN45" i="5"/>
  <c r="AZ45" i="5" s="1"/>
  <c r="AR201" i="5"/>
  <c r="AO201" i="5"/>
  <c r="AN201" i="5"/>
  <c r="AZ201" i="5" s="1"/>
  <c r="AN58" i="5"/>
  <c r="AZ58" i="5" s="1"/>
  <c r="AR58" i="5"/>
  <c r="AO58" i="5"/>
  <c r="AN188" i="5"/>
  <c r="AZ188" i="5" s="1"/>
  <c r="AR188" i="5"/>
  <c r="AO188" i="5"/>
  <c r="AR91" i="5"/>
  <c r="AN91" i="5"/>
  <c r="AZ91" i="5" s="1"/>
  <c r="AO91" i="5"/>
  <c r="AN93" i="5"/>
  <c r="AZ93" i="5" s="1"/>
  <c r="AR93" i="5"/>
  <c r="AO93" i="5"/>
  <c r="AR130" i="5"/>
  <c r="AO130" i="5"/>
  <c r="AN130" i="5"/>
  <c r="AZ130" i="5" s="1"/>
  <c r="AR54" i="5"/>
  <c r="AO54" i="5"/>
  <c r="AN54" i="5"/>
  <c r="AZ54" i="5" s="1"/>
  <c r="AN31" i="5"/>
  <c r="AZ31" i="5" s="1"/>
  <c r="AR31" i="5"/>
  <c r="AO31" i="5"/>
  <c r="AO63" i="5"/>
  <c r="AR63" i="5"/>
  <c r="AN63" i="5"/>
  <c r="AZ63" i="5" s="1"/>
  <c r="AO85" i="5"/>
  <c r="AN85" i="5"/>
  <c r="AZ85" i="5" s="1"/>
  <c r="AR85" i="5"/>
  <c r="AO165" i="5"/>
  <c r="AN165" i="5"/>
  <c r="AZ165" i="5" s="1"/>
  <c r="AR165" i="5"/>
  <c r="AP60" i="5"/>
  <c r="AQ60" i="5"/>
  <c r="AS60" i="5" s="1"/>
  <c r="AX60" i="5" s="1"/>
  <c r="AY60" i="5" s="1"/>
  <c r="BD60" i="5" s="1"/>
  <c r="AR17" i="5"/>
  <c r="AO17" i="5"/>
  <c r="AN17" i="5"/>
  <c r="AZ17" i="5" s="1"/>
  <c r="AN95" i="5"/>
  <c r="AZ95" i="5" s="1"/>
  <c r="AO95" i="5"/>
  <c r="AR95" i="5"/>
  <c r="AN100" i="5"/>
  <c r="AZ100" i="5" s="1"/>
  <c r="AR100" i="5"/>
  <c r="AO100" i="5"/>
  <c r="AO191" i="5"/>
  <c r="AN191" i="5"/>
  <c r="AZ191" i="5" s="1"/>
  <c r="AR191" i="5"/>
  <c r="AN108" i="5"/>
  <c r="AZ108" i="5" s="1"/>
  <c r="AR108" i="5"/>
  <c r="AO108" i="5"/>
  <c r="AR92" i="5"/>
  <c r="AO92" i="5"/>
  <c r="AN92" i="5"/>
  <c r="AZ92" i="5" s="1"/>
  <c r="AO163" i="5"/>
  <c r="AR163" i="5"/>
  <c r="AN163" i="5"/>
  <c r="AZ163" i="5" s="1"/>
  <c r="AR187" i="5"/>
  <c r="AO187" i="5"/>
  <c r="AN187" i="5"/>
  <c r="AZ187" i="5" s="1"/>
  <c r="AR185" i="5"/>
  <c r="AO185" i="5"/>
  <c r="AN185" i="5"/>
  <c r="AZ185" i="5" s="1"/>
  <c r="AR5" i="5"/>
  <c r="AO141" i="5"/>
  <c r="AR141" i="5"/>
  <c r="AN141" i="5"/>
  <c r="AZ141" i="5" s="1"/>
  <c r="AR15" i="5"/>
  <c r="AN15" i="5"/>
  <c r="AZ15" i="5" s="1"/>
  <c r="AO15" i="5"/>
  <c r="AO46" i="5"/>
  <c r="AN46" i="5"/>
  <c r="AZ46" i="5" s="1"/>
  <c r="AR46" i="5"/>
  <c r="AR19" i="5"/>
  <c r="AN19" i="5"/>
  <c r="AZ19" i="5" s="1"/>
  <c r="AO19" i="5"/>
  <c r="AO125" i="5"/>
  <c r="AN125" i="5"/>
  <c r="AZ125" i="5" s="1"/>
  <c r="AR125" i="5"/>
  <c r="AR170" i="5"/>
  <c r="AN170" i="5"/>
  <c r="AZ170" i="5" s="1"/>
  <c r="AO170" i="5"/>
  <c r="AO6" i="5"/>
  <c r="AN6" i="5"/>
  <c r="AZ6" i="5" s="1"/>
  <c r="AR6" i="5"/>
  <c r="AO127" i="5"/>
  <c r="AR127" i="5"/>
  <c r="AN127" i="5"/>
  <c r="AZ127" i="5" s="1"/>
  <c r="AR65" i="5"/>
  <c r="AN65" i="5"/>
  <c r="AZ65" i="5" s="1"/>
  <c r="AO65" i="5"/>
  <c r="AR8" i="5"/>
  <c r="AN8" i="5"/>
  <c r="AZ8" i="5" s="1"/>
  <c r="AO8" i="5"/>
  <c r="AO18" i="5"/>
  <c r="AN18" i="5"/>
  <c r="AZ18" i="5" s="1"/>
  <c r="AR18" i="5"/>
  <c r="AN149" i="5"/>
  <c r="AZ149" i="5" s="1"/>
  <c r="AO149" i="5"/>
  <c r="AR149" i="5"/>
  <c r="AR27" i="5"/>
  <c r="AO27" i="5"/>
  <c r="AN27" i="5"/>
  <c r="AZ27" i="5" s="1"/>
  <c r="AR36" i="5"/>
  <c r="AO36" i="5"/>
  <c r="AN36" i="5"/>
  <c r="AZ36" i="5" s="1"/>
  <c r="AR38" i="5"/>
  <c r="AO38" i="5"/>
  <c r="AN38" i="5"/>
  <c r="AZ38" i="5" s="1"/>
  <c r="AR70" i="5"/>
  <c r="AO70" i="5"/>
  <c r="AN70" i="5"/>
  <c r="AZ70" i="5" s="1"/>
  <c r="AN110" i="5"/>
  <c r="AZ110" i="5" s="1"/>
  <c r="AO110" i="5"/>
  <c r="AR110" i="5"/>
  <c r="AO109" i="5"/>
  <c r="AN109" i="5"/>
  <c r="AZ109" i="5" s="1"/>
  <c r="AR109" i="5"/>
  <c r="AO99" i="5"/>
  <c r="AN99" i="5"/>
  <c r="AZ99" i="5" s="1"/>
  <c r="AR99" i="5"/>
  <c r="AR107" i="5"/>
  <c r="AO107" i="5"/>
  <c r="AN107" i="5"/>
  <c r="AZ107" i="5" s="1"/>
  <c r="AR96" i="5"/>
  <c r="AN96" i="5"/>
  <c r="AZ96" i="5" s="1"/>
  <c r="AO96" i="5"/>
  <c r="AR132" i="5"/>
  <c r="AO132" i="5"/>
  <c r="AN132" i="5"/>
  <c r="AZ132" i="5" s="1"/>
  <c r="AR164" i="5"/>
  <c r="AO164" i="5"/>
  <c r="AN164" i="5"/>
  <c r="AZ164" i="5" s="1"/>
  <c r="AR179" i="5"/>
  <c r="AO179" i="5"/>
  <c r="AN179" i="5"/>
  <c r="AZ179" i="5" s="1"/>
  <c r="AR202" i="5"/>
  <c r="AO202" i="5"/>
  <c r="AN202" i="5"/>
  <c r="AZ202" i="5" s="1"/>
  <c r="AR177" i="5"/>
  <c r="AO177" i="5"/>
  <c r="AN177" i="5"/>
  <c r="AZ177" i="5" s="1"/>
  <c r="AO59" i="5"/>
  <c r="AN59" i="5"/>
  <c r="AZ59" i="5" s="1"/>
  <c r="AR59" i="5"/>
  <c r="AO119" i="5"/>
  <c r="AR119" i="5"/>
  <c r="AN119" i="5"/>
  <c r="AZ119" i="5" s="1"/>
  <c r="AR102" i="5"/>
  <c r="AO102" i="5"/>
  <c r="AN102" i="5"/>
  <c r="AZ102" i="5" s="1"/>
  <c r="AR192" i="5"/>
  <c r="AO192" i="5"/>
  <c r="AN192" i="5"/>
  <c r="AZ192" i="5" s="1"/>
  <c r="AO79" i="5"/>
  <c r="AR79" i="5"/>
  <c r="AN79" i="5"/>
  <c r="AZ79" i="5" s="1"/>
  <c r="AO175" i="5"/>
  <c r="AR175" i="5"/>
  <c r="AN175" i="5"/>
  <c r="AZ175" i="5" s="1"/>
  <c r="AO146" i="5"/>
  <c r="AR146" i="5"/>
  <c r="AN146" i="5"/>
  <c r="AZ146" i="5" s="1"/>
  <c r="AR33" i="5"/>
  <c r="AO33" i="5"/>
  <c r="AN33" i="5"/>
  <c r="AZ33" i="5" s="1"/>
  <c r="AR86" i="5"/>
  <c r="AO86" i="5"/>
  <c r="AN86" i="5"/>
  <c r="AZ86" i="5" s="1"/>
  <c r="AO181" i="5"/>
  <c r="AN181" i="5"/>
  <c r="AZ181" i="5" s="1"/>
  <c r="AR181" i="5"/>
  <c r="AR157" i="5"/>
  <c r="AN157" i="5"/>
  <c r="AZ157" i="5" s="1"/>
  <c r="AO157" i="5"/>
  <c r="AO24" i="5"/>
  <c r="AR24" i="5"/>
  <c r="AN24" i="5"/>
  <c r="AZ24" i="5" s="1"/>
  <c r="AN89" i="5"/>
  <c r="AZ89" i="5" s="1"/>
  <c r="AR89" i="5"/>
  <c r="AO89" i="5"/>
  <c r="AR81" i="5"/>
  <c r="AO81" i="5"/>
  <c r="AN81" i="5"/>
  <c r="AZ81" i="5" s="1"/>
  <c r="AR11" i="5"/>
  <c r="AO11" i="5"/>
  <c r="AN11" i="5"/>
  <c r="AZ11" i="5" s="1"/>
  <c r="AO137" i="5"/>
  <c r="AR137" i="5"/>
  <c r="AN137" i="5"/>
  <c r="AZ137" i="5" s="1"/>
  <c r="AO37" i="5"/>
  <c r="AN37" i="5"/>
  <c r="AZ37" i="5" s="1"/>
  <c r="AR37" i="5"/>
  <c r="AR44" i="5"/>
  <c r="AO44" i="5"/>
  <c r="AN44" i="5"/>
  <c r="AZ44" i="5" s="1"/>
  <c r="AO10" i="5"/>
  <c r="AR10" i="5"/>
  <c r="AN10" i="5"/>
  <c r="AZ10" i="5" s="1"/>
  <c r="AR23" i="5"/>
  <c r="AO23" i="5"/>
  <c r="AN23" i="5"/>
  <c r="AZ23" i="5" s="1"/>
  <c r="AO88" i="5"/>
  <c r="AN88" i="5"/>
  <c r="AZ88" i="5" s="1"/>
  <c r="AR88" i="5"/>
  <c r="AR120" i="5"/>
  <c r="AO120" i="5"/>
  <c r="AN120" i="5"/>
  <c r="AZ120" i="5" s="1"/>
  <c r="AR97" i="5"/>
  <c r="AO97" i="5"/>
  <c r="AN97" i="5"/>
  <c r="AZ97" i="5" s="1"/>
  <c r="AR76" i="5"/>
  <c r="AO76" i="5"/>
  <c r="AN76" i="5"/>
  <c r="AZ76" i="5" s="1"/>
  <c r="AO133" i="5"/>
  <c r="AN133" i="5"/>
  <c r="AZ133" i="5" s="1"/>
  <c r="AR133" i="5"/>
  <c r="AR87" i="5"/>
  <c r="AO87" i="5"/>
  <c r="AN87" i="5"/>
  <c r="AZ87" i="5" s="1"/>
  <c r="AO152" i="5"/>
  <c r="AN152" i="5"/>
  <c r="AZ152" i="5" s="1"/>
  <c r="AR152" i="5"/>
  <c r="AR160" i="5"/>
  <c r="AN160" i="5"/>
  <c r="AZ160" i="5" s="1"/>
  <c r="AO160" i="5"/>
  <c r="AR203" i="5"/>
  <c r="AO203" i="5"/>
  <c r="AN203" i="5"/>
  <c r="AZ203" i="5" s="1"/>
  <c r="AO197" i="5"/>
  <c r="AN197" i="5"/>
  <c r="AZ197" i="5" s="1"/>
  <c r="AR197" i="5"/>
  <c r="AN172" i="5"/>
  <c r="AZ172" i="5" s="1"/>
  <c r="AR172" i="5"/>
  <c r="AO172" i="5"/>
  <c r="AR173" i="5"/>
  <c r="AO173" i="5"/>
  <c r="AN173" i="5"/>
  <c r="AZ173" i="5" s="1"/>
  <c r="AO121" i="5"/>
  <c r="AN121" i="5"/>
  <c r="AZ121" i="5" s="1"/>
  <c r="AR121" i="5"/>
  <c r="AP197" i="5" l="1"/>
  <c r="AQ197" i="5" s="1"/>
  <c r="AS197" i="5" s="1"/>
  <c r="AX197" i="5" s="1"/>
  <c r="AP15" i="5"/>
  <c r="AQ15" i="5" s="1"/>
  <c r="AS15" i="5" s="1"/>
  <c r="AX15" i="5" s="1"/>
  <c r="AQ28" i="5"/>
  <c r="AS28" i="5" s="1"/>
  <c r="AX28" i="5" s="1"/>
  <c r="AY28" i="5" s="1"/>
  <c r="AP28" i="5"/>
  <c r="AP156" i="5"/>
  <c r="AQ156" i="5"/>
  <c r="AS156" i="5" s="1"/>
  <c r="AX156" i="5" s="1"/>
  <c r="AY156" i="5" s="1"/>
  <c r="AP164" i="5"/>
  <c r="AQ164" i="5"/>
  <c r="AS164" i="5" s="1"/>
  <c r="AX164" i="5" s="1"/>
  <c r="AY164" i="5" s="1"/>
  <c r="AQ111" i="5"/>
  <c r="AS111" i="5" s="1"/>
  <c r="AX111" i="5" s="1"/>
  <c r="AY111" i="5" s="1"/>
  <c r="BD111" i="5" s="1"/>
  <c r="AP111" i="5"/>
  <c r="AP13" i="5"/>
  <c r="AQ13" i="5" s="1"/>
  <c r="AS13" i="5" s="1"/>
  <c r="AX13" i="5" s="1"/>
  <c r="BC55" i="5"/>
  <c r="BB55" i="5"/>
  <c r="AP199" i="5"/>
  <c r="AQ199" i="5" s="1"/>
  <c r="AS199" i="5" s="1"/>
  <c r="AX199" i="5" s="1"/>
  <c r="BC75" i="5"/>
  <c r="AP69" i="5"/>
  <c r="AQ69" i="5" s="1"/>
  <c r="AS69" i="5" s="1"/>
  <c r="AX69" i="5" s="1"/>
  <c r="BC158" i="5"/>
  <c r="AQ129" i="5"/>
  <c r="AS129" i="5" s="1"/>
  <c r="AX129" i="5" s="1"/>
  <c r="AY129" i="5" s="1"/>
  <c r="BD129" i="5" s="1"/>
  <c r="AP129" i="5"/>
  <c r="AP150" i="5"/>
  <c r="AQ150" i="5"/>
  <c r="AS150" i="5" s="1"/>
  <c r="AX150" i="5" s="1"/>
  <c r="AY150" i="5" s="1"/>
  <c r="BD150" i="5" s="1"/>
  <c r="BB76" i="5"/>
  <c r="BC76" i="5"/>
  <c r="BC35" i="5"/>
  <c r="AP33" i="5"/>
  <c r="AQ33" i="5" s="1"/>
  <c r="AS33" i="5" s="1"/>
  <c r="AX33" i="5" s="1"/>
  <c r="AQ131" i="5"/>
  <c r="AS131" i="5" s="1"/>
  <c r="AX131" i="5" s="1"/>
  <c r="AY131" i="5" s="1"/>
  <c r="AP131" i="5"/>
  <c r="AQ103" i="5"/>
  <c r="AS103" i="5" s="1"/>
  <c r="AX103" i="5" s="1"/>
  <c r="AY103" i="5" s="1"/>
  <c r="BD103" i="5" s="1"/>
  <c r="AP103" i="5"/>
  <c r="AP149" i="5"/>
  <c r="AQ149" i="5" s="1"/>
  <c r="AS149" i="5" s="1"/>
  <c r="AX149" i="5" s="1"/>
  <c r="AP82" i="5"/>
  <c r="AQ82" i="5"/>
  <c r="AS82" i="5" s="1"/>
  <c r="AX82" i="5" s="1"/>
  <c r="AY82" i="5" s="1"/>
  <c r="BD82" i="5" s="1"/>
  <c r="BC182" i="5"/>
  <c r="AP114" i="5"/>
  <c r="AQ114" i="5"/>
  <c r="AS114" i="5" s="1"/>
  <c r="AX114" i="5" s="1"/>
  <c r="AY114" i="5" s="1"/>
  <c r="AP139" i="5"/>
  <c r="AQ139" i="5" s="1"/>
  <c r="AS139" i="5" s="1"/>
  <c r="AX139" i="5" s="1"/>
  <c r="AP55" i="5"/>
  <c r="AQ55" i="5"/>
  <c r="AS55" i="5" s="1"/>
  <c r="AX55" i="5" s="1"/>
  <c r="AY55" i="5" s="1"/>
  <c r="BD55" i="5" s="1"/>
  <c r="AP64" i="5"/>
  <c r="AQ64" i="5"/>
  <c r="AS64" i="5" s="1"/>
  <c r="AX64" i="5" s="1"/>
  <c r="AY64" i="5" s="1"/>
  <c r="BD64" i="5" s="1"/>
  <c r="AP159" i="5"/>
  <c r="AQ159" i="5" s="1"/>
  <c r="AS159" i="5" s="1"/>
  <c r="AX159" i="5" s="1"/>
  <c r="AP127" i="5"/>
  <c r="AQ127" i="5" s="1"/>
  <c r="AS127" i="5" s="1"/>
  <c r="AX127" i="5" s="1"/>
  <c r="BB109" i="5"/>
  <c r="BD109" i="5"/>
  <c r="BC109" i="5"/>
  <c r="AQ117" i="5"/>
  <c r="AS117" i="5" s="1"/>
  <c r="AX117" i="5" s="1"/>
  <c r="AY117" i="5" s="1"/>
  <c r="AP117" i="5"/>
  <c r="AP109" i="5"/>
  <c r="AQ109" i="5"/>
  <c r="AS109" i="5" s="1"/>
  <c r="AX109" i="5" s="1"/>
  <c r="AY109" i="5" s="1"/>
  <c r="AP90" i="5"/>
  <c r="AQ90" i="5" s="1"/>
  <c r="AS90" i="5" s="1"/>
  <c r="AX90" i="5" s="1"/>
  <c r="AP44" i="5"/>
  <c r="AQ44" i="5" s="1"/>
  <c r="AS44" i="5" s="1"/>
  <c r="AX44" i="5" s="1"/>
  <c r="BC132" i="5"/>
  <c r="BC150" i="5"/>
  <c r="BC33" i="5"/>
  <c r="AP10" i="5"/>
  <c r="AQ10" i="5"/>
  <c r="AS10" i="5" s="1"/>
  <c r="AX10" i="5" s="1"/>
  <c r="AY10" i="5" s="1"/>
  <c r="AP54" i="5"/>
  <c r="AQ54" i="5" s="1"/>
  <c r="AS54" i="5" s="1"/>
  <c r="AX54" i="5" s="1"/>
  <c r="AP25" i="5"/>
  <c r="AQ25" i="5" s="1"/>
  <c r="AS25" i="5" s="1"/>
  <c r="AX25" i="5" s="1"/>
  <c r="BD29" i="5"/>
  <c r="BC29" i="5"/>
  <c r="BB29" i="5"/>
  <c r="BC12" i="5"/>
  <c r="AP27" i="5"/>
  <c r="AQ27" i="5" s="1"/>
  <c r="AS27" i="5" s="1"/>
  <c r="AX27" i="5" s="1"/>
  <c r="BC41" i="5"/>
  <c r="AP180" i="5"/>
  <c r="AQ180" i="5" s="1"/>
  <c r="AS180" i="5" s="1"/>
  <c r="AX180" i="5" s="1"/>
  <c r="BC203" i="5"/>
  <c r="AP89" i="5"/>
  <c r="AQ89" i="5"/>
  <c r="AS89" i="5" s="1"/>
  <c r="AX89" i="5" s="1"/>
  <c r="AY89" i="5" s="1"/>
  <c r="BD89" i="5" s="1"/>
  <c r="AQ92" i="5"/>
  <c r="AS92" i="5" s="1"/>
  <c r="AX92" i="5" s="1"/>
  <c r="AY92" i="5" s="1"/>
  <c r="BD92" i="5" s="1"/>
  <c r="AP92" i="5"/>
  <c r="BC116" i="5"/>
  <c r="AQ158" i="5"/>
  <c r="AS158" i="5" s="1"/>
  <c r="AX158" i="5" s="1"/>
  <c r="AY158" i="5" s="1"/>
  <c r="BD158" i="5" s="1"/>
  <c r="AP158" i="5"/>
  <c r="BC6" i="5"/>
  <c r="BC201" i="5"/>
  <c r="AP116" i="5"/>
  <c r="AQ116" i="5" s="1"/>
  <c r="AS116" i="5" s="1"/>
  <c r="AX116" i="5" s="1"/>
  <c r="BB130" i="5"/>
  <c r="BC130" i="5"/>
  <c r="BD130" i="5"/>
  <c r="AQ12" i="5"/>
  <c r="AS12" i="5" s="1"/>
  <c r="AX12" i="5" s="1"/>
  <c r="AY12" i="5" s="1"/>
  <c r="BD12" i="5" s="1"/>
  <c r="AP12" i="5"/>
  <c r="BC90" i="5"/>
  <c r="AQ29" i="5"/>
  <c r="AS29" i="5" s="1"/>
  <c r="AX29" i="5" s="1"/>
  <c r="AY29" i="5" s="1"/>
  <c r="AP29" i="5"/>
  <c r="BC149" i="5"/>
  <c r="BC21" i="5"/>
  <c r="BC62" i="5"/>
  <c r="BC139" i="5"/>
  <c r="BD160" i="5"/>
  <c r="BC160" i="5"/>
  <c r="BC110" i="5"/>
  <c r="BC165" i="5"/>
  <c r="BC145" i="5"/>
  <c r="BB145" i="5"/>
  <c r="AP136" i="5"/>
  <c r="AQ136" i="5" s="1"/>
  <c r="AS136" i="5" s="1"/>
  <c r="AX136" i="5" s="1"/>
  <c r="BC40" i="5"/>
  <c r="BC59" i="5"/>
  <c r="AP45" i="5"/>
  <c r="AQ45" i="5" s="1"/>
  <c r="AS45" i="5" s="1"/>
  <c r="AX45" i="5" s="1"/>
  <c r="BC171" i="5"/>
  <c r="BD61" i="5"/>
  <c r="BC61" i="5"/>
  <c r="BB61" i="5"/>
  <c r="BC74" i="5"/>
  <c r="BC98" i="5"/>
  <c r="AP121" i="5"/>
  <c r="AQ121" i="5" s="1"/>
  <c r="AS121" i="5" s="1"/>
  <c r="AX121" i="5" s="1"/>
  <c r="AP120" i="5"/>
  <c r="AQ120" i="5" s="1"/>
  <c r="AS120" i="5" s="1"/>
  <c r="AX120" i="5" s="1"/>
  <c r="AP37" i="5"/>
  <c r="AQ37" i="5"/>
  <c r="AS37" i="5" s="1"/>
  <c r="AX37" i="5" s="1"/>
  <c r="AY37" i="5" s="1"/>
  <c r="AQ157" i="5"/>
  <c r="AS157" i="5" s="1"/>
  <c r="AX157" i="5" s="1"/>
  <c r="AY157" i="5" s="1"/>
  <c r="AP157" i="5"/>
  <c r="AP59" i="5"/>
  <c r="AQ59" i="5" s="1"/>
  <c r="AS59" i="5" s="1"/>
  <c r="AX59" i="5" s="1"/>
  <c r="AP96" i="5"/>
  <c r="AQ96" i="5" s="1"/>
  <c r="AS96" i="5" s="1"/>
  <c r="AX96" i="5" s="1"/>
  <c r="AP70" i="5"/>
  <c r="AQ70" i="5" s="1"/>
  <c r="AS70" i="5" s="1"/>
  <c r="AX70" i="5" s="1"/>
  <c r="AQ18" i="5"/>
  <c r="AS18" i="5" s="1"/>
  <c r="AX18" i="5" s="1"/>
  <c r="AY18" i="5" s="1"/>
  <c r="BD18" i="5" s="1"/>
  <c r="AP18" i="5"/>
  <c r="BC185" i="5"/>
  <c r="BC191" i="5"/>
  <c r="BC84" i="5"/>
  <c r="BC135" i="5"/>
  <c r="AP171" i="5"/>
  <c r="AQ171" i="5" s="1"/>
  <c r="AS171" i="5" s="1"/>
  <c r="AX171" i="5" s="1"/>
  <c r="BC169" i="5"/>
  <c r="AP128" i="5"/>
  <c r="AQ128" i="5" s="1"/>
  <c r="AS128" i="5" s="1"/>
  <c r="AX128" i="5" s="1"/>
  <c r="BC51" i="5"/>
  <c r="BD190" i="5"/>
  <c r="BC190" i="5"/>
  <c r="BB190" i="5"/>
  <c r="AQ49" i="5"/>
  <c r="AS49" i="5" s="1"/>
  <c r="AX49" i="5" s="1"/>
  <c r="AY49" i="5" s="1"/>
  <c r="BD49" i="5" s="1"/>
  <c r="AP49" i="5"/>
  <c r="AP115" i="5"/>
  <c r="AQ115" i="5" s="1"/>
  <c r="AS115" i="5" s="1"/>
  <c r="AX115" i="5" s="1"/>
  <c r="BD68" i="5"/>
  <c r="BC68" i="5"/>
  <c r="AQ22" i="5"/>
  <c r="AS22" i="5" s="1"/>
  <c r="AX22" i="5" s="1"/>
  <c r="AY22" i="5" s="1"/>
  <c r="BD22" i="5" s="1"/>
  <c r="AP22" i="5"/>
  <c r="AP74" i="5"/>
  <c r="AQ74" i="5"/>
  <c r="AS74" i="5" s="1"/>
  <c r="AX74" i="5" s="1"/>
  <c r="AY74" i="5" s="1"/>
  <c r="BD74" i="5" s="1"/>
  <c r="BC143" i="5"/>
  <c r="BC168" i="5"/>
  <c r="AP105" i="5"/>
  <c r="AQ105" i="5" s="1"/>
  <c r="AS105" i="5" s="1"/>
  <c r="AX105" i="5" s="1"/>
  <c r="AP78" i="5"/>
  <c r="AQ78" i="5" s="1"/>
  <c r="AS78" i="5" s="1"/>
  <c r="AX78" i="5" s="1"/>
  <c r="AQ48" i="5"/>
  <c r="AS48" i="5" s="1"/>
  <c r="AX48" i="5" s="1"/>
  <c r="AY48" i="5" s="1"/>
  <c r="BD48" i="5" s="1"/>
  <c r="AP48" i="5"/>
  <c r="AP98" i="5"/>
  <c r="AQ98" i="5" s="1"/>
  <c r="AS98" i="5" s="1"/>
  <c r="AX98" i="5" s="1"/>
  <c r="BC173" i="5"/>
  <c r="BB152" i="5"/>
  <c r="BC152" i="5"/>
  <c r="BC137" i="5"/>
  <c r="BD137" i="5"/>
  <c r="BC157" i="5"/>
  <c r="BD157" i="5"/>
  <c r="AQ175" i="5"/>
  <c r="AS175" i="5" s="1"/>
  <c r="AX175" i="5" s="1"/>
  <c r="AY175" i="5" s="1"/>
  <c r="BD175" i="5" s="1"/>
  <c r="AP175" i="5"/>
  <c r="BC177" i="5"/>
  <c r="BC96" i="5"/>
  <c r="AQ8" i="5"/>
  <c r="AS8" i="5" s="1"/>
  <c r="AX8" i="5" s="1"/>
  <c r="AY8" i="5" s="1"/>
  <c r="BD8" i="5" s="1"/>
  <c r="AP8" i="5"/>
  <c r="BC125" i="5"/>
  <c r="AQ185" i="5"/>
  <c r="AS185" i="5" s="1"/>
  <c r="AX185" i="5" s="1"/>
  <c r="AY185" i="5" s="1"/>
  <c r="BD185" i="5" s="1"/>
  <c r="AP185" i="5"/>
  <c r="AP191" i="5"/>
  <c r="AQ191" i="5" s="1"/>
  <c r="AS191" i="5" s="1"/>
  <c r="AX191" i="5" s="1"/>
  <c r="BC85" i="5"/>
  <c r="BC93" i="5"/>
  <c r="BC195" i="5"/>
  <c r="BC186" i="5"/>
  <c r="AP84" i="5"/>
  <c r="AQ84" i="5" s="1"/>
  <c r="AS84" i="5" s="1"/>
  <c r="AX84" i="5" s="1"/>
  <c r="AP135" i="5"/>
  <c r="AQ135" i="5" s="1"/>
  <c r="AS135" i="5" s="1"/>
  <c r="AX135" i="5" s="1"/>
  <c r="AP169" i="5"/>
  <c r="AQ169" i="5" s="1"/>
  <c r="AS169" i="5" s="1"/>
  <c r="AX169" i="5" s="1"/>
  <c r="AP30" i="5"/>
  <c r="AQ30" i="5" s="1"/>
  <c r="AS30" i="5" s="1"/>
  <c r="AX30" i="5" s="1"/>
  <c r="AQ190" i="5"/>
  <c r="AS190" i="5" s="1"/>
  <c r="AX190" i="5" s="1"/>
  <c r="AY190" i="5" s="1"/>
  <c r="AP190" i="5"/>
  <c r="AP161" i="5"/>
  <c r="AQ161" i="5" s="1"/>
  <c r="AS161" i="5" s="1"/>
  <c r="AX161" i="5" s="1"/>
  <c r="BB153" i="5"/>
  <c r="BC153" i="5"/>
  <c r="BC80" i="5"/>
  <c r="BC22" i="5"/>
  <c r="BB22" i="5"/>
  <c r="AQ61" i="5"/>
  <c r="AS61" i="5" s="1"/>
  <c r="AX61" i="5" s="1"/>
  <c r="AY61" i="5" s="1"/>
  <c r="AP61" i="5"/>
  <c r="BC113" i="5"/>
  <c r="AP143" i="5"/>
  <c r="AQ143" i="5"/>
  <c r="AS143" i="5" s="1"/>
  <c r="AX143" i="5" s="1"/>
  <c r="AY143" i="5" s="1"/>
  <c r="BD143" i="5" s="1"/>
  <c r="AP168" i="5"/>
  <c r="AQ168" i="5"/>
  <c r="AS168" i="5" s="1"/>
  <c r="AX168" i="5" s="1"/>
  <c r="AY168" i="5" s="1"/>
  <c r="BD168" i="5" s="1"/>
  <c r="BC66" i="5"/>
  <c r="AP17" i="5"/>
  <c r="AQ17" i="5"/>
  <c r="AS17" i="5" s="1"/>
  <c r="AX17" i="5" s="1"/>
  <c r="AY17" i="5" s="1"/>
  <c r="BD17" i="5" s="1"/>
  <c r="BB5" i="5"/>
  <c r="BC5" i="5"/>
  <c r="BD5" i="5"/>
  <c r="BC25" i="5"/>
  <c r="BC82" i="5"/>
  <c r="BC154" i="5"/>
  <c r="BC13" i="5"/>
  <c r="BC44" i="5"/>
  <c r="BC89" i="5"/>
  <c r="AP6" i="5"/>
  <c r="AQ6" i="5" s="1"/>
  <c r="AS6" i="5" s="1"/>
  <c r="AX6" i="5" s="1"/>
  <c r="AP145" i="5"/>
  <c r="AQ145" i="5"/>
  <c r="AS145" i="5" s="1"/>
  <c r="AX145" i="5" s="1"/>
  <c r="AY145" i="5" s="1"/>
  <c r="BD145" i="5" s="1"/>
  <c r="AP134" i="5"/>
  <c r="AQ134" i="5" s="1"/>
  <c r="AS134" i="5" s="1"/>
  <c r="AX134" i="5" s="1"/>
  <c r="BC138" i="5"/>
  <c r="BC64" i="5"/>
  <c r="BB64" i="5"/>
  <c r="AP146" i="5"/>
  <c r="AQ146" i="5" s="1"/>
  <c r="AS146" i="5" s="1"/>
  <c r="AX146" i="5" s="1"/>
  <c r="BC196" i="5"/>
  <c r="AP51" i="5"/>
  <c r="AQ51" i="5" s="1"/>
  <c r="AS51" i="5" s="1"/>
  <c r="AX51" i="5" s="1"/>
  <c r="BC105" i="5"/>
  <c r="BC70" i="5"/>
  <c r="AP196" i="5"/>
  <c r="AQ196" i="5" s="1"/>
  <c r="AS196" i="5" s="1"/>
  <c r="AX196" i="5" s="1"/>
  <c r="AQ62" i="5"/>
  <c r="AS62" i="5" s="1"/>
  <c r="AX62" i="5" s="1"/>
  <c r="AY62" i="5" s="1"/>
  <c r="BD62" i="5" s="1"/>
  <c r="AP62" i="5"/>
  <c r="BC48" i="5"/>
  <c r="BC8" i="5"/>
  <c r="AP100" i="5"/>
  <c r="AQ100" i="5"/>
  <c r="AS100" i="5" s="1"/>
  <c r="AX100" i="5" s="1"/>
  <c r="AY100" i="5" s="1"/>
  <c r="BD100" i="5" s="1"/>
  <c r="AP186" i="5"/>
  <c r="AQ186" i="5" s="1"/>
  <c r="AS186" i="5" s="1"/>
  <c r="AX186" i="5" s="1"/>
  <c r="BC20" i="5"/>
  <c r="AP39" i="5"/>
  <c r="AQ39" i="5" s="1"/>
  <c r="AS39" i="5" s="1"/>
  <c r="AX39" i="5" s="1"/>
  <c r="BC115" i="5"/>
  <c r="AP80" i="5"/>
  <c r="AQ80" i="5" s="1"/>
  <c r="AS80" i="5" s="1"/>
  <c r="AX80" i="5" s="1"/>
  <c r="BC187" i="5"/>
  <c r="BC63" i="5"/>
  <c r="BC91" i="5"/>
  <c r="BC83" i="5"/>
  <c r="BB83" i="5"/>
  <c r="BC34" i="5"/>
  <c r="AP101" i="5"/>
  <c r="AQ101" i="5" s="1"/>
  <c r="AS101" i="5" s="1"/>
  <c r="AX101" i="5" s="1"/>
  <c r="BC174" i="5"/>
  <c r="AP20" i="5"/>
  <c r="AQ20" i="5" s="1"/>
  <c r="AS20" i="5" s="1"/>
  <c r="AX20" i="5" s="1"/>
  <c r="BC26" i="5"/>
  <c r="BC39" i="5"/>
  <c r="AP118" i="5"/>
  <c r="AQ118" i="5"/>
  <c r="AS118" i="5" s="1"/>
  <c r="AX118" i="5" s="1"/>
  <c r="AY118" i="5" s="1"/>
  <c r="AP200" i="5"/>
  <c r="AQ200" i="5" s="1"/>
  <c r="AS200" i="5" s="1"/>
  <c r="AX200" i="5" s="1"/>
  <c r="BC16" i="5"/>
  <c r="AP42" i="5"/>
  <c r="AQ42" i="5" s="1"/>
  <c r="AS42" i="5" s="1"/>
  <c r="AX42" i="5" s="1"/>
  <c r="AQ113" i="5"/>
  <c r="AS113" i="5" s="1"/>
  <c r="AX113" i="5" s="1"/>
  <c r="AY113" i="5" s="1"/>
  <c r="BD113" i="5" s="1"/>
  <c r="AP113" i="5"/>
  <c r="BB112" i="5"/>
  <c r="BC112" i="5"/>
  <c r="BC140" i="5"/>
  <c r="BC183" i="5"/>
  <c r="BC50" i="5"/>
  <c r="AP56" i="5"/>
  <c r="AQ56" i="5" s="1"/>
  <c r="AS56" i="5" s="1"/>
  <c r="AX56" i="5" s="1"/>
  <c r="BD117" i="5"/>
  <c r="BC117" i="5"/>
  <c r="BB117" i="5"/>
  <c r="AP75" i="5"/>
  <c r="AQ75" i="5"/>
  <c r="AS75" i="5" s="1"/>
  <c r="AX75" i="5" s="1"/>
  <c r="AY75" i="5" s="1"/>
  <c r="BD75" i="5" s="1"/>
  <c r="AQ176" i="5"/>
  <c r="AS176" i="5" s="1"/>
  <c r="AX176" i="5" s="1"/>
  <c r="AY176" i="5" s="1"/>
  <c r="BD176" i="5" s="1"/>
  <c r="AP176" i="5"/>
  <c r="BC97" i="5"/>
  <c r="AP108" i="5"/>
  <c r="AQ108" i="5" s="1"/>
  <c r="AS108" i="5" s="1"/>
  <c r="AX108" i="5" s="1"/>
  <c r="AP160" i="5"/>
  <c r="AQ160" i="5"/>
  <c r="AS160" i="5" s="1"/>
  <c r="AX160" i="5" s="1"/>
  <c r="AY160" i="5" s="1"/>
  <c r="BC54" i="5"/>
  <c r="AP106" i="5"/>
  <c r="AQ106" i="5"/>
  <c r="AS106" i="5" s="1"/>
  <c r="AX106" i="5" s="1"/>
  <c r="AY106" i="5" s="1"/>
  <c r="BC15" i="5"/>
  <c r="BC146" i="5"/>
  <c r="BC24" i="5"/>
  <c r="BC134" i="5"/>
  <c r="AP122" i="5"/>
  <c r="AQ122" i="5" s="1"/>
  <c r="AS122" i="5" s="1"/>
  <c r="AX122" i="5" s="1"/>
  <c r="AP141" i="5"/>
  <c r="AQ141" i="5" s="1"/>
  <c r="AS141" i="5" s="1"/>
  <c r="AX141" i="5" s="1"/>
  <c r="AP21" i="5"/>
  <c r="AQ21" i="5"/>
  <c r="AS21" i="5" s="1"/>
  <c r="AX21" i="5" s="1"/>
  <c r="AY21" i="5" s="1"/>
  <c r="BD21" i="5" s="1"/>
  <c r="BD37" i="5"/>
  <c r="BC37" i="5"/>
  <c r="BC136" i="5"/>
  <c r="AP152" i="5"/>
  <c r="AQ152" i="5"/>
  <c r="AS152" i="5" s="1"/>
  <c r="AX152" i="5" s="1"/>
  <c r="AY152" i="5" s="1"/>
  <c r="BD152" i="5" s="1"/>
  <c r="AP177" i="5"/>
  <c r="AQ177" i="5" s="1"/>
  <c r="AS177" i="5" s="1"/>
  <c r="AX177" i="5" s="1"/>
  <c r="AP195" i="5"/>
  <c r="AQ195" i="5" s="1"/>
  <c r="AS195" i="5" s="1"/>
  <c r="AX195" i="5" s="1"/>
  <c r="BC30" i="5"/>
  <c r="BC200" i="5"/>
  <c r="BC88" i="5"/>
  <c r="AQ38" i="5"/>
  <c r="AS38" i="5" s="1"/>
  <c r="AX38" i="5" s="1"/>
  <c r="AY38" i="5" s="1"/>
  <c r="AP38" i="5"/>
  <c r="AP87" i="5"/>
  <c r="AQ87" i="5" s="1"/>
  <c r="AS87" i="5" s="1"/>
  <c r="AX87" i="5" s="1"/>
  <c r="AP107" i="5"/>
  <c r="AQ107" i="5" s="1"/>
  <c r="AS107" i="5" s="1"/>
  <c r="AX107" i="5" s="1"/>
  <c r="BC184" i="5"/>
  <c r="AP174" i="5"/>
  <c r="AQ174" i="5" s="1"/>
  <c r="AS174" i="5" s="1"/>
  <c r="AX174" i="5" s="1"/>
  <c r="AP47" i="5"/>
  <c r="AQ47" i="5" s="1"/>
  <c r="AS47" i="5" s="1"/>
  <c r="AX47" i="5" s="1"/>
  <c r="AP183" i="5"/>
  <c r="AQ183" i="5" s="1"/>
  <c r="AS183" i="5" s="1"/>
  <c r="AX183" i="5" s="1"/>
  <c r="AP11" i="5"/>
  <c r="AQ11" i="5" s="1"/>
  <c r="AS11" i="5" s="1"/>
  <c r="AX11" i="5" s="1"/>
  <c r="BC192" i="5"/>
  <c r="AP202" i="5"/>
  <c r="AQ202" i="5" s="1"/>
  <c r="AS202" i="5" s="1"/>
  <c r="AX202" i="5" s="1"/>
  <c r="BC36" i="5"/>
  <c r="BC65" i="5"/>
  <c r="AP63" i="5"/>
  <c r="AQ63" i="5" s="1"/>
  <c r="AS63" i="5" s="1"/>
  <c r="AX63" i="5" s="1"/>
  <c r="AP188" i="5"/>
  <c r="AQ188" i="5" s="1"/>
  <c r="AS188" i="5" s="1"/>
  <c r="AX188" i="5" s="1"/>
  <c r="AQ43" i="5"/>
  <c r="AS43" i="5" s="1"/>
  <c r="AX43" i="5" s="1"/>
  <c r="AY43" i="5" s="1"/>
  <c r="BD43" i="5" s="1"/>
  <c r="AP43" i="5"/>
  <c r="AP184" i="5"/>
  <c r="AQ184" i="5" s="1"/>
  <c r="AS184" i="5" s="1"/>
  <c r="AX184" i="5" s="1"/>
  <c r="BC32" i="5"/>
  <c r="BC9" i="5"/>
  <c r="BC67" i="5"/>
  <c r="BC142" i="5"/>
  <c r="AQ4" i="5"/>
  <c r="AS4" i="5" s="1"/>
  <c r="AX4" i="5" s="1"/>
  <c r="AY4" i="5" s="1"/>
  <c r="AP4" i="5"/>
  <c r="BD118" i="5"/>
  <c r="BB118" i="5"/>
  <c r="BC118" i="5"/>
  <c r="BC155" i="5"/>
  <c r="BC53" i="5"/>
  <c r="AP144" i="5"/>
  <c r="AQ144" i="5" s="1"/>
  <c r="AS144" i="5" s="1"/>
  <c r="AX144" i="5" s="1"/>
  <c r="BC47" i="5"/>
  <c r="AP72" i="5"/>
  <c r="AQ72" i="5" s="1"/>
  <c r="AS72" i="5" s="1"/>
  <c r="AX72" i="5" s="1"/>
  <c r="BC189" i="5"/>
  <c r="AP102" i="5"/>
  <c r="AQ102" i="5" s="1"/>
  <c r="AS102" i="5" s="1"/>
  <c r="AX102" i="5" s="1"/>
  <c r="BC176" i="5"/>
  <c r="BC58" i="5"/>
  <c r="BC129" i="5"/>
  <c r="AP126" i="5"/>
  <c r="AQ126" i="5" s="1"/>
  <c r="AS126" i="5" s="1"/>
  <c r="AX126" i="5" s="1"/>
  <c r="AP201" i="5"/>
  <c r="AQ201" i="5" s="1"/>
  <c r="AS201" i="5" s="1"/>
  <c r="AX201" i="5" s="1"/>
  <c r="BC151" i="5"/>
  <c r="AP97" i="5"/>
  <c r="AQ97" i="5" s="1"/>
  <c r="AS97" i="5" s="1"/>
  <c r="AX97" i="5" s="1"/>
  <c r="AP119" i="5"/>
  <c r="AQ119" i="5" s="1"/>
  <c r="AS119" i="5" s="1"/>
  <c r="AX119" i="5" s="1"/>
  <c r="AQ170" i="5"/>
  <c r="AS170" i="5" s="1"/>
  <c r="AX170" i="5" s="1"/>
  <c r="AY170" i="5" s="1"/>
  <c r="BD170" i="5" s="1"/>
  <c r="AP170" i="5"/>
  <c r="AP130" i="5"/>
  <c r="AQ130" i="5"/>
  <c r="AS130" i="5" s="1"/>
  <c r="AX130" i="5" s="1"/>
  <c r="AY130" i="5" s="1"/>
  <c r="BC69" i="5"/>
  <c r="BC45" i="5"/>
  <c r="AP198" i="5"/>
  <c r="AQ198" i="5" s="1"/>
  <c r="AS198" i="5" s="1"/>
  <c r="AX198" i="5" s="1"/>
  <c r="AP7" i="5"/>
  <c r="AQ7" i="5" s="1"/>
  <c r="AS7" i="5" s="1"/>
  <c r="AX7" i="5" s="1"/>
  <c r="BC122" i="5"/>
  <c r="BC175" i="5"/>
  <c r="BC49" i="5"/>
  <c r="AP153" i="5"/>
  <c r="AQ153" i="5"/>
  <c r="AS153" i="5" s="1"/>
  <c r="AX153" i="5" s="1"/>
  <c r="AY153" i="5" s="1"/>
  <c r="BD153" i="5" s="1"/>
  <c r="AP40" i="5"/>
  <c r="AQ40" i="5" s="1"/>
  <c r="AS40" i="5" s="1"/>
  <c r="AX40" i="5" s="1"/>
  <c r="BC79" i="5"/>
  <c r="AP125" i="5"/>
  <c r="AQ125" i="5" s="1"/>
  <c r="AS125" i="5" s="1"/>
  <c r="AX125" i="5" s="1"/>
  <c r="AQ91" i="5"/>
  <c r="AS91" i="5" s="1"/>
  <c r="AX91" i="5" s="1"/>
  <c r="AY91" i="5" s="1"/>
  <c r="BD91" i="5" s="1"/>
  <c r="AP91" i="5"/>
  <c r="BC101" i="5"/>
  <c r="BC161" i="5"/>
  <c r="BC42" i="5"/>
  <c r="AQ66" i="5"/>
  <c r="AS66" i="5" s="1"/>
  <c r="AX66" i="5" s="1"/>
  <c r="AY66" i="5" s="1"/>
  <c r="BD66" i="5" s="1"/>
  <c r="AP66" i="5"/>
  <c r="BC107" i="5"/>
  <c r="BC181" i="5"/>
  <c r="BC43" i="5"/>
  <c r="BB43" i="5"/>
  <c r="AP112" i="5"/>
  <c r="AQ112" i="5"/>
  <c r="AS112" i="5" s="1"/>
  <c r="AX112" i="5" s="1"/>
  <c r="AY112" i="5" s="1"/>
  <c r="BD112" i="5" s="1"/>
  <c r="BC72" i="5"/>
  <c r="BC23" i="5"/>
  <c r="AP181" i="5"/>
  <c r="AQ181" i="5" s="1"/>
  <c r="AS181" i="5" s="1"/>
  <c r="AX181" i="5" s="1"/>
  <c r="BC172" i="5"/>
  <c r="AP23" i="5"/>
  <c r="AQ23" i="5" s="1"/>
  <c r="AS23" i="5" s="1"/>
  <c r="AX23" i="5" s="1"/>
  <c r="BC86" i="5"/>
  <c r="AP192" i="5"/>
  <c r="AQ192" i="5" s="1"/>
  <c r="AS192" i="5" s="1"/>
  <c r="AX192" i="5" s="1"/>
  <c r="AP36" i="5"/>
  <c r="AQ36" i="5"/>
  <c r="AS36" i="5" s="1"/>
  <c r="AX36" i="5" s="1"/>
  <c r="AY36" i="5" s="1"/>
  <c r="BD36" i="5" s="1"/>
  <c r="BC163" i="5"/>
  <c r="AP95" i="5"/>
  <c r="AQ95" i="5" s="1"/>
  <c r="AS95" i="5" s="1"/>
  <c r="AX95" i="5" s="1"/>
  <c r="AP31" i="5"/>
  <c r="AQ31" i="5" s="1"/>
  <c r="AS31" i="5" s="1"/>
  <c r="AX31" i="5" s="1"/>
  <c r="AP32" i="5"/>
  <c r="AQ32" i="5" s="1"/>
  <c r="AS32" i="5" s="1"/>
  <c r="AX32" i="5" s="1"/>
  <c r="AP9" i="5"/>
  <c r="AQ9" i="5" s="1"/>
  <c r="AS9" i="5" s="1"/>
  <c r="AX9" i="5" s="1"/>
  <c r="BC147" i="5"/>
  <c r="AP67" i="5"/>
  <c r="AQ67" i="5" s="1"/>
  <c r="AS67" i="5" s="1"/>
  <c r="AX67" i="5" s="1"/>
  <c r="BC104" i="5"/>
  <c r="BD4" i="5"/>
  <c r="BC4" i="5"/>
  <c r="BC124" i="5"/>
  <c r="AP53" i="5"/>
  <c r="AQ53" i="5" s="1"/>
  <c r="AS53" i="5" s="1"/>
  <c r="AX53" i="5" s="1"/>
  <c r="BC14" i="5"/>
  <c r="BC144" i="5"/>
  <c r="BC73" i="5"/>
  <c r="BB73" i="5"/>
  <c r="BD73" i="5"/>
  <c r="BD71" i="5"/>
  <c r="BC71" i="5"/>
  <c r="AP189" i="5"/>
  <c r="AQ189" i="5" s="1"/>
  <c r="AS189" i="5" s="1"/>
  <c r="AX189" i="5" s="1"/>
  <c r="BC92" i="5"/>
  <c r="BD164" i="5"/>
  <c r="BC164" i="5"/>
  <c r="BB164" i="5"/>
  <c r="AQ41" i="5"/>
  <c r="AS41" i="5" s="1"/>
  <c r="AX41" i="5" s="1"/>
  <c r="AY41" i="5" s="1"/>
  <c r="BD41" i="5" s="1"/>
  <c r="AP41" i="5"/>
  <c r="AQ203" i="5"/>
  <c r="AS203" i="5" s="1"/>
  <c r="AX203" i="5" s="1"/>
  <c r="AY203" i="5" s="1"/>
  <c r="BD203" i="5" s="1"/>
  <c r="AP203" i="5"/>
  <c r="BB156" i="5"/>
  <c r="BD156" i="5"/>
  <c r="BC156" i="5"/>
  <c r="BC141" i="5"/>
  <c r="BC126" i="5"/>
  <c r="AP110" i="5"/>
  <c r="AQ110" i="5"/>
  <c r="AS110" i="5" s="1"/>
  <c r="AX110" i="5" s="1"/>
  <c r="AY110" i="5" s="1"/>
  <c r="BD110" i="5" s="1"/>
  <c r="BC198" i="5"/>
  <c r="BC170" i="5"/>
  <c r="BD194" i="5"/>
  <c r="BC194" i="5"/>
  <c r="BC121" i="5"/>
  <c r="BC128" i="5"/>
  <c r="AP194" i="5"/>
  <c r="AQ194" i="5"/>
  <c r="AS194" i="5" s="1"/>
  <c r="AX194" i="5" s="1"/>
  <c r="AY194" i="5" s="1"/>
  <c r="AQ173" i="5"/>
  <c r="AS173" i="5" s="1"/>
  <c r="AX173" i="5" s="1"/>
  <c r="AY173" i="5" s="1"/>
  <c r="BD173" i="5" s="1"/>
  <c r="AP173" i="5"/>
  <c r="BB38" i="5"/>
  <c r="BC38" i="5"/>
  <c r="BD38" i="5"/>
  <c r="AP85" i="5"/>
  <c r="AQ85" i="5" s="1"/>
  <c r="AS85" i="5" s="1"/>
  <c r="AX85" i="5" s="1"/>
  <c r="BC56" i="5"/>
  <c r="BC11" i="5"/>
  <c r="AP79" i="5"/>
  <c r="AQ79" i="5" s="1"/>
  <c r="AS79" i="5" s="1"/>
  <c r="AX79" i="5" s="1"/>
  <c r="AP65" i="5"/>
  <c r="AQ65" i="5" s="1"/>
  <c r="AS65" i="5" s="1"/>
  <c r="AX65" i="5" s="1"/>
  <c r="AP187" i="5"/>
  <c r="AQ187" i="5" s="1"/>
  <c r="AS187" i="5" s="1"/>
  <c r="AX187" i="5" s="1"/>
  <c r="AP34" i="5"/>
  <c r="AQ34" i="5"/>
  <c r="AS34" i="5" s="1"/>
  <c r="AX34" i="5" s="1"/>
  <c r="AY34" i="5" s="1"/>
  <c r="BD34" i="5" s="1"/>
  <c r="BC179" i="5"/>
  <c r="BC95" i="5"/>
  <c r="BC188" i="5"/>
  <c r="BC167" i="5"/>
  <c r="BB167" i="5"/>
  <c r="BD167" i="5"/>
  <c r="BB148" i="5"/>
  <c r="BC148" i="5"/>
  <c r="AP57" i="5"/>
  <c r="AQ57" i="5" s="1"/>
  <c r="AS57" i="5" s="1"/>
  <c r="AX57" i="5" s="1"/>
  <c r="BC123" i="5"/>
  <c r="BC94" i="5"/>
  <c r="AP162" i="5"/>
  <c r="AQ162" i="5" s="1"/>
  <c r="AS162" i="5" s="1"/>
  <c r="AX162" i="5" s="1"/>
  <c r="AP155" i="5"/>
  <c r="AQ155" i="5" s="1"/>
  <c r="AS155" i="5" s="1"/>
  <c r="AX155" i="5" s="1"/>
  <c r="BC52" i="5"/>
  <c r="AP14" i="5"/>
  <c r="AQ14" i="5"/>
  <c r="AS14" i="5" s="1"/>
  <c r="AX14" i="5" s="1"/>
  <c r="AY14" i="5" s="1"/>
  <c r="BD14" i="5" s="1"/>
  <c r="BC77" i="5"/>
  <c r="AP73" i="5"/>
  <c r="AQ73" i="5"/>
  <c r="AS73" i="5" s="1"/>
  <c r="AX73" i="5" s="1"/>
  <c r="AY73" i="5" s="1"/>
  <c r="AQ71" i="5"/>
  <c r="AS71" i="5" s="1"/>
  <c r="AX71" i="5" s="1"/>
  <c r="AY71" i="5" s="1"/>
  <c r="AP71" i="5"/>
  <c r="BC166" i="5"/>
  <c r="AP178" i="5"/>
  <c r="AQ178" i="5"/>
  <c r="AS178" i="5" s="1"/>
  <c r="AX178" i="5" s="1"/>
  <c r="AY178" i="5" s="1"/>
  <c r="BB60" i="5"/>
  <c r="BC131" i="5"/>
  <c r="BD131" i="5"/>
  <c r="BB131" i="5"/>
  <c r="AQ193" i="5"/>
  <c r="AS193" i="5" s="1"/>
  <c r="AX193" i="5" s="1"/>
  <c r="AY193" i="5" s="1"/>
  <c r="BD193" i="5" s="1"/>
  <c r="AP193" i="5"/>
  <c r="AP76" i="5"/>
  <c r="AQ76" i="5"/>
  <c r="AS76" i="5" s="1"/>
  <c r="AX76" i="5" s="1"/>
  <c r="AY76" i="5" s="1"/>
  <c r="BD76" i="5" s="1"/>
  <c r="BC111" i="5"/>
  <c r="BB111" i="5"/>
  <c r="BC199" i="5"/>
  <c r="BC119" i="5"/>
  <c r="BC114" i="5"/>
  <c r="BB114" i="5"/>
  <c r="BD114" i="5"/>
  <c r="BC7" i="5"/>
  <c r="AP182" i="5"/>
  <c r="AQ182" i="5" s="1"/>
  <c r="AS182" i="5" s="1"/>
  <c r="AX182" i="5" s="1"/>
  <c r="AP132" i="5"/>
  <c r="AQ132" i="5" s="1"/>
  <c r="AS132" i="5" s="1"/>
  <c r="AX132" i="5" s="1"/>
  <c r="BC108" i="5"/>
  <c r="AP138" i="5"/>
  <c r="AQ138" i="5"/>
  <c r="AS138" i="5" s="1"/>
  <c r="AX138" i="5" s="1"/>
  <c r="AY138" i="5" s="1"/>
  <c r="BD138" i="5" s="1"/>
  <c r="AP151" i="5"/>
  <c r="AQ151" i="5"/>
  <c r="AS151" i="5" s="1"/>
  <c r="AX151" i="5" s="1"/>
  <c r="AY151" i="5" s="1"/>
  <c r="BD151" i="5" s="1"/>
  <c r="BC159" i="5"/>
  <c r="BC120" i="5"/>
  <c r="AP24" i="5"/>
  <c r="AQ24" i="5" s="1"/>
  <c r="AS24" i="5" s="1"/>
  <c r="AX24" i="5" s="1"/>
  <c r="BC18" i="5"/>
  <c r="AP165" i="5"/>
  <c r="AQ165" i="5" s="1"/>
  <c r="AS165" i="5" s="1"/>
  <c r="AX165" i="5" s="1"/>
  <c r="AQ93" i="5"/>
  <c r="AS93" i="5" s="1"/>
  <c r="AX93" i="5" s="1"/>
  <c r="AY93" i="5" s="1"/>
  <c r="BD93" i="5" s="1"/>
  <c r="AP93" i="5"/>
  <c r="AQ68" i="5"/>
  <c r="AS68" i="5" s="1"/>
  <c r="AX68" i="5" s="1"/>
  <c r="AY68" i="5" s="1"/>
  <c r="AP68" i="5"/>
  <c r="BC78" i="5"/>
  <c r="BC87" i="5"/>
  <c r="AQ137" i="5"/>
  <c r="AS137" i="5" s="1"/>
  <c r="AX137" i="5" s="1"/>
  <c r="AY137" i="5" s="1"/>
  <c r="AP137" i="5"/>
  <c r="AP19" i="5"/>
  <c r="AQ19" i="5" s="1"/>
  <c r="AS19" i="5" s="1"/>
  <c r="AX19" i="5" s="1"/>
  <c r="AP172" i="5"/>
  <c r="AQ172" i="5" s="1"/>
  <c r="AS172" i="5" s="1"/>
  <c r="AX172" i="5" s="1"/>
  <c r="AP88" i="5"/>
  <c r="AQ88" i="5" s="1"/>
  <c r="AS88" i="5" s="1"/>
  <c r="AX88" i="5" s="1"/>
  <c r="BC202" i="5"/>
  <c r="BC19" i="5"/>
  <c r="BC100" i="5"/>
  <c r="AP83" i="5"/>
  <c r="AQ83" i="5"/>
  <c r="AS83" i="5" s="1"/>
  <c r="AX83" i="5" s="1"/>
  <c r="AY83" i="5" s="1"/>
  <c r="BD83" i="5" s="1"/>
  <c r="AP142" i="5"/>
  <c r="AQ142" i="5"/>
  <c r="AS142" i="5" s="1"/>
  <c r="AX142" i="5" s="1"/>
  <c r="AY142" i="5" s="1"/>
  <c r="BD142" i="5" s="1"/>
  <c r="AP26" i="5"/>
  <c r="AQ26" i="5" s="1"/>
  <c r="AS26" i="5" s="1"/>
  <c r="AX26" i="5" s="1"/>
  <c r="AP124" i="5"/>
  <c r="AQ124" i="5"/>
  <c r="AS124" i="5" s="1"/>
  <c r="AX124" i="5" s="1"/>
  <c r="AY124" i="5" s="1"/>
  <c r="BD124" i="5" s="1"/>
  <c r="AP16" i="5"/>
  <c r="AQ16" i="5" s="1"/>
  <c r="AS16" i="5" s="1"/>
  <c r="AX16" i="5" s="1"/>
  <c r="AQ140" i="5"/>
  <c r="AS140" i="5" s="1"/>
  <c r="AX140" i="5" s="1"/>
  <c r="AY140" i="5" s="1"/>
  <c r="BD140" i="5" s="1"/>
  <c r="AP140" i="5"/>
  <c r="AP50" i="5"/>
  <c r="AQ50" i="5" s="1"/>
  <c r="AS50" i="5" s="1"/>
  <c r="AX50" i="5" s="1"/>
  <c r="BC133" i="5"/>
  <c r="BC81" i="5"/>
  <c r="AP86" i="5"/>
  <c r="AQ86" i="5"/>
  <c r="AS86" i="5" s="1"/>
  <c r="AX86" i="5" s="1"/>
  <c r="AY86" i="5" s="1"/>
  <c r="BD86" i="5" s="1"/>
  <c r="BC99" i="5"/>
  <c r="BC127" i="5"/>
  <c r="BC46" i="5"/>
  <c r="BC197" i="5"/>
  <c r="AP133" i="5"/>
  <c r="AQ133" i="5" s="1"/>
  <c r="AS133" i="5" s="1"/>
  <c r="AX133" i="5" s="1"/>
  <c r="BB10" i="5"/>
  <c r="BC10" i="5"/>
  <c r="BD10" i="5"/>
  <c r="AP81" i="5"/>
  <c r="AQ81" i="5"/>
  <c r="AS81" i="5" s="1"/>
  <c r="AX81" i="5" s="1"/>
  <c r="AY81" i="5" s="1"/>
  <c r="BD81" i="5" s="1"/>
  <c r="BC102" i="5"/>
  <c r="AP179" i="5"/>
  <c r="AQ179" i="5" s="1"/>
  <c r="AS179" i="5" s="1"/>
  <c r="AX179" i="5" s="1"/>
  <c r="AP99" i="5"/>
  <c r="AQ99" i="5" s="1"/>
  <c r="AS99" i="5" s="1"/>
  <c r="AX99" i="5" s="1"/>
  <c r="BC27" i="5"/>
  <c r="AP46" i="5"/>
  <c r="AQ46" i="5"/>
  <c r="AS46" i="5" s="1"/>
  <c r="AX46" i="5" s="1"/>
  <c r="AY46" i="5" s="1"/>
  <c r="BD46" i="5" s="1"/>
  <c r="AQ163" i="5"/>
  <c r="AS163" i="5" s="1"/>
  <c r="AX163" i="5" s="1"/>
  <c r="AY163" i="5" s="1"/>
  <c r="BD163" i="5" s="1"/>
  <c r="AP163" i="5"/>
  <c r="BC17" i="5"/>
  <c r="BB17" i="5"/>
  <c r="BC31" i="5"/>
  <c r="AP58" i="5"/>
  <c r="AQ58" i="5" s="1"/>
  <c r="AS58" i="5" s="1"/>
  <c r="AX58" i="5" s="1"/>
  <c r="AQ167" i="5"/>
  <c r="AS167" i="5" s="1"/>
  <c r="AX167" i="5" s="1"/>
  <c r="AY167" i="5" s="1"/>
  <c r="AP167" i="5"/>
  <c r="AP148" i="5"/>
  <c r="AQ148" i="5"/>
  <c r="AS148" i="5" s="1"/>
  <c r="AX148" i="5" s="1"/>
  <c r="AY148" i="5" s="1"/>
  <c r="BD148" i="5" s="1"/>
  <c r="BC57" i="5"/>
  <c r="BC28" i="5"/>
  <c r="BB28" i="5"/>
  <c r="BD28" i="5"/>
  <c r="AP147" i="5"/>
  <c r="AQ147" i="5" s="1"/>
  <c r="AS147" i="5" s="1"/>
  <c r="AX147" i="5" s="1"/>
  <c r="BC180" i="5"/>
  <c r="AP123" i="5"/>
  <c r="AQ123" i="5" s="1"/>
  <c r="AS123" i="5" s="1"/>
  <c r="AX123" i="5" s="1"/>
  <c r="AP104" i="5"/>
  <c r="AQ104" i="5" s="1"/>
  <c r="AS104" i="5" s="1"/>
  <c r="AX104" i="5" s="1"/>
  <c r="BC193" i="5"/>
  <c r="AQ94" i="5"/>
  <c r="AS94" i="5" s="1"/>
  <c r="AX94" i="5" s="1"/>
  <c r="AY94" i="5" s="1"/>
  <c r="BD94" i="5" s="1"/>
  <c r="AP94" i="5"/>
  <c r="BC162" i="5"/>
  <c r="BD106" i="5"/>
  <c r="BC106" i="5"/>
  <c r="AP52" i="5"/>
  <c r="AQ52" i="5" s="1"/>
  <c r="AS52" i="5" s="1"/>
  <c r="AX52" i="5" s="1"/>
  <c r="AQ35" i="5"/>
  <c r="AS35" i="5" s="1"/>
  <c r="AX35" i="5" s="1"/>
  <c r="AY35" i="5" s="1"/>
  <c r="BD35" i="5" s="1"/>
  <c r="AP35" i="5"/>
  <c r="AP77" i="5"/>
  <c r="AQ77" i="5" s="1"/>
  <c r="AS77" i="5" s="1"/>
  <c r="AX77" i="5" s="1"/>
  <c r="AP154" i="5"/>
  <c r="AQ154" i="5" s="1"/>
  <c r="AS154" i="5" s="1"/>
  <c r="AX154" i="5" s="1"/>
  <c r="AP166" i="5"/>
  <c r="AQ166" i="5" s="1"/>
  <c r="AS166" i="5" s="1"/>
  <c r="AX166" i="5" s="1"/>
  <c r="BD178" i="5"/>
  <c r="BC178" i="5"/>
  <c r="BB178" i="5"/>
  <c r="BC103" i="5"/>
  <c r="AY136" i="5" l="1"/>
  <c r="BD136" i="5" s="1"/>
  <c r="BB136" i="5"/>
  <c r="AY149" i="5"/>
  <c r="BD149" i="5" s="1"/>
  <c r="BB149" i="5"/>
  <c r="AY195" i="5"/>
  <c r="BD195" i="5" s="1"/>
  <c r="BB195" i="5"/>
  <c r="AY123" i="5"/>
  <c r="BD123" i="5" s="1"/>
  <c r="BB123" i="5"/>
  <c r="AY108" i="5"/>
  <c r="BD108" i="5" s="1"/>
  <c r="BB108" i="5"/>
  <c r="AY40" i="5"/>
  <c r="BD40" i="5" s="1"/>
  <c r="BB40" i="5"/>
  <c r="AY105" i="5"/>
  <c r="BD105" i="5" s="1"/>
  <c r="BB105" i="5"/>
  <c r="AY127" i="5"/>
  <c r="BD127" i="5" s="1"/>
  <c r="BB127" i="5"/>
  <c r="AY67" i="5"/>
  <c r="BD67" i="5" s="1"/>
  <c r="BB67" i="5"/>
  <c r="AY201" i="5"/>
  <c r="BD201" i="5" s="1"/>
  <c r="BB201" i="5"/>
  <c r="AY47" i="5"/>
  <c r="BD47" i="5" s="1"/>
  <c r="BB47" i="5"/>
  <c r="AY121" i="5"/>
  <c r="BD121" i="5" s="1"/>
  <c r="BB121" i="5"/>
  <c r="AY54" i="5"/>
  <c r="BD54" i="5" s="1"/>
  <c r="BB54" i="5"/>
  <c r="AY159" i="5"/>
  <c r="BD159" i="5" s="1"/>
  <c r="BB159" i="5"/>
  <c r="AY33" i="5"/>
  <c r="BD33" i="5" s="1"/>
  <c r="BB33" i="5"/>
  <c r="AY191" i="5"/>
  <c r="BD191" i="5" s="1"/>
  <c r="BB191" i="5"/>
  <c r="AY181" i="5"/>
  <c r="BD181" i="5" s="1"/>
  <c r="BB181" i="5"/>
  <c r="AY13" i="5"/>
  <c r="BD13" i="5" s="1"/>
  <c r="BB13" i="5"/>
  <c r="AY161" i="5"/>
  <c r="BD161" i="5" s="1"/>
  <c r="BB161" i="5"/>
  <c r="AY120" i="5"/>
  <c r="BD120" i="5" s="1"/>
  <c r="BB120" i="5"/>
  <c r="AY200" i="5"/>
  <c r="BD200" i="5" s="1"/>
  <c r="BB200" i="5"/>
  <c r="AY39" i="5"/>
  <c r="BD39" i="5" s="1"/>
  <c r="BB39" i="5"/>
  <c r="AY171" i="5"/>
  <c r="BD171" i="5" s="1"/>
  <c r="BB171" i="5"/>
  <c r="AY69" i="5"/>
  <c r="BD69" i="5" s="1"/>
  <c r="BB69" i="5"/>
  <c r="AY172" i="5"/>
  <c r="BD172" i="5" s="1"/>
  <c r="BB172" i="5"/>
  <c r="AY187" i="5"/>
  <c r="BD187" i="5" s="1"/>
  <c r="BB187" i="5"/>
  <c r="AY126" i="5"/>
  <c r="BD126" i="5" s="1"/>
  <c r="BB126" i="5"/>
  <c r="AY174" i="5"/>
  <c r="BD174" i="5" s="1"/>
  <c r="BB174" i="5"/>
  <c r="AY77" i="5"/>
  <c r="BD77" i="5" s="1"/>
  <c r="BB77" i="5"/>
  <c r="AY179" i="5"/>
  <c r="BD179" i="5" s="1"/>
  <c r="BB179" i="5"/>
  <c r="AY50" i="5"/>
  <c r="BD50" i="5" s="1"/>
  <c r="BB50" i="5"/>
  <c r="AY19" i="5"/>
  <c r="BD19" i="5" s="1"/>
  <c r="BB19" i="5"/>
  <c r="AY155" i="5"/>
  <c r="BD155" i="5" s="1"/>
  <c r="BB155" i="5"/>
  <c r="AY65" i="5"/>
  <c r="BD65" i="5" s="1"/>
  <c r="BB65" i="5"/>
  <c r="AY9" i="5"/>
  <c r="BD9" i="5" s="1"/>
  <c r="BB9" i="5"/>
  <c r="AY30" i="5"/>
  <c r="BD30" i="5" s="1"/>
  <c r="BB30" i="5"/>
  <c r="AY59" i="5"/>
  <c r="BD59" i="5" s="1"/>
  <c r="BB59" i="5"/>
  <c r="AY104" i="5"/>
  <c r="BD104" i="5" s="1"/>
  <c r="BB104" i="5"/>
  <c r="AY144" i="5"/>
  <c r="BD144" i="5" s="1"/>
  <c r="BB144" i="5"/>
  <c r="AY63" i="5"/>
  <c r="BD63" i="5" s="1"/>
  <c r="BB63" i="5"/>
  <c r="AY96" i="5"/>
  <c r="BD96" i="5" s="1"/>
  <c r="BB96" i="5"/>
  <c r="AY27" i="5"/>
  <c r="BD27" i="5" s="1"/>
  <c r="BB27" i="5"/>
  <c r="AY165" i="5"/>
  <c r="BD165" i="5" s="1"/>
  <c r="BB165" i="5"/>
  <c r="AY23" i="5"/>
  <c r="BD23" i="5" s="1"/>
  <c r="BB23" i="5"/>
  <c r="AY98" i="5"/>
  <c r="BD98" i="5" s="1"/>
  <c r="BB98" i="5"/>
  <c r="AY199" i="5"/>
  <c r="BD199" i="5" s="1"/>
  <c r="BB199" i="5"/>
  <c r="AY116" i="5"/>
  <c r="BD116" i="5" s="1"/>
  <c r="BB116" i="5"/>
  <c r="AY166" i="5"/>
  <c r="BD166" i="5" s="1"/>
  <c r="BB166" i="5"/>
  <c r="AY154" i="5"/>
  <c r="BD154" i="5" s="1"/>
  <c r="BB154" i="5"/>
  <c r="AY162" i="5"/>
  <c r="BD162" i="5" s="1"/>
  <c r="BB162" i="5"/>
  <c r="AY133" i="5"/>
  <c r="BD133" i="5" s="1"/>
  <c r="BB133" i="5"/>
  <c r="AY192" i="5"/>
  <c r="BD192" i="5" s="1"/>
  <c r="BB192" i="5"/>
  <c r="AY177" i="5"/>
  <c r="BD177" i="5" s="1"/>
  <c r="BB177" i="5"/>
  <c r="AY24" i="5"/>
  <c r="BD24" i="5" s="1"/>
  <c r="BB24" i="5"/>
  <c r="AY125" i="5"/>
  <c r="BD125" i="5" s="1"/>
  <c r="BB125" i="5"/>
  <c r="AY97" i="5"/>
  <c r="BD97" i="5" s="1"/>
  <c r="BB97" i="5"/>
  <c r="AY11" i="5"/>
  <c r="BD11" i="5" s="1"/>
  <c r="BB11" i="5"/>
  <c r="AY78" i="5"/>
  <c r="BD78" i="5" s="1"/>
  <c r="BB78" i="5"/>
  <c r="AY147" i="5"/>
  <c r="BD147" i="5" s="1"/>
  <c r="BB147" i="5"/>
  <c r="AY183" i="5"/>
  <c r="BD183" i="5" s="1"/>
  <c r="BB183" i="5"/>
  <c r="AY146" i="5"/>
  <c r="BD146" i="5" s="1"/>
  <c r="BB146" i="5"/>
  <c r="AY128" i="5"/>
  <c r="BD128" i="5" s="1"/>
  <c r="BB128" i="5"/>
  <c r="AY31" i="5"/>
  <c r="BD31" i="5" s="1"/>
  <c r="BB31" i="5"/>
  <c r="AY87" i="5"/>
  <c r="BD87" i="5" s="1"/>
  <c r="BB87" i="5"/>
  <c r="AY122" i="5"/>
  <c r="BD122" i="5" s="1"/>
  <c r="BB122" i="5"/>
  <c r="AY84" i="5"/>
  <c r="BD84" i="5" s="1"/>
  <c r="BB84" i="5"/>
  <c r="AY139" i="5"/>
  <c r="BD139" i="5" s="1"/>
  <c r="BB139" i="5"/>
  <c r="AY119" i="5"/>
  <c r="BD119" i="5" s="1"/>
  <c r="BB119" i="5"/>
  <c r="AY51" i="5"/>
  <c r="BD51" i="5" s="1"/>
  <c r="BB51" i="5"/>
  <c r="AY42" i="5"/>
  <c r="BD42" i="5" s="1"/>
  <c r="BB42" i="5"/>
  <c r="AY25" i="5"/>
  <c r="BD25" i="5" s="1"/>
  <c r="BB25" i="5"/>
  <c r="AY88" i="5"/>
  <c r="BD88" i="5" s="1"/>
  <c r="BB88" i="5"/>
  <c r="AY99" i="5"/>
  <c r="BD99" i="5" s="1"/>
  <c r="BB99" i="5"/>
  <c r="AY79" i="5"/>
  <c r="BD79" i="5" s="1"/>
  <c r="BB79" i="5"/>
  <c r="AY32" i="5"/>
  <c r="BD32" i="5" s="1"/>
  <c r="BB32" i="5"/>
  <c r="AY141" i="5"/>
  <c r="BD141" i="5" s="1"/>
  <c r="BB141" i="5"/>
  <c r="AY134" i="5"/>
  <c r="BD134" i="5" s="1"/>
  <c r="BB134" i="5"/>
  <c r="AY169" i="5"/>
  <c r="BD169" i="5" s="1"/>
  <c r="BB169" i="5"/>
  <c r="AY132" i="5"/>
  <c r="BD132" i="5" s="1"/>
  <c r="BB132" i="5"/>
  <c r="AY95" i="5"/>
  <c r="BD95" i="5" s="1"/>
  <c r="BB95" i="5"/>
  <c r="AY7" i="5"/>
  <c r="BD7" i="5" s="1"/>
  <c r="BB7" i="5"/>
  <c r="AY102" i="5"/>
  <c r="BD102" i="5" s="1"/>
  <c r="BB102" i="5"/>
  <c r="AY184" i="5"/>
  <c r="BD184" i="5" s="1"/>
  <c r="BB184" i="5"/>
  <c r="AY182" i="5"/>
  <c r="BD182" i="5" s="1"/>
  <c r="BB182" i="5"/>
  <c r="AY57" i="5"/>
  <c r="BD57" i="5" s="1"/>
  <c r="BB57" i="5"/>
  <c r="AY85" i="5"/>
  <c r="BD85" i="5" s="1"/>
  <c r="BB85" i="5"/>
  <c r="AY198" i="5"/>
  <c r="BD198" i="5" s="1"/>
  <c r="BB198" i="5"/>
  <c r="AY20" i="5"/>
  <c r="BD20" i="5" s="1"/>
  <c r="BB20" i="5"/>
  <c r="AY6" i="5"/>
  <c r="BD6" i="5" s="1"/>
  <c r="BB6" i="5"/>
  <c r="AY44" i="5"/>
  <c r="BD44" i="5" s="1"/>
  <c r="BB44" i="5"/>
  <c r="AY202" i="5"/>
  <c r="BD202" i="5" s="1"/>
  <c r="BB202" i="5"/>
  <c r="AY80" i="5"/>
  <c r="BD80" i="5" s="1"/>
  <c r="BB80" i="5"/>
  <c r="AY189" i="5"/>
  <c r="BD189" i="5" s="1"/>
  <c r="BB189" i="5"/>
  <c r="AY107" i="5"/>
  <c r="BD107" i="5" s="1"/>
  <c r="BB107" i="5"/>
  <c r="AY186" i="5"/>
  <c r="BD186" i="5" s="1"/>
  <c r="BB186" i="5"/>
  <c r="AY56" i="5"/>
  <c r="BD56" i="5" s="1"/>
  <c r="BB56" i="5"/>
  <c r="AY45" i="5"/>
  <c r="BD45" i="5" s="1"/>
  <c r="BB45" i="5"/>
  <c r="AY15" i="5"/>
  <c r="BD15" i="5" s="1"/>
  <c r="BB15" i="5"/>
  <c r="AY196" i="5"/>
  <c r="BD196" i="5" s="1"/>
  <c r="BB196" i="5"/>
  <c r="AY53" i="5"/>
  <c r="BD53" i="5" s="1"/>
  <c r="BB53" i="5"/>
  <c r="AY135" i="5"/>
  <c r="BD135" i="5" s="1"/>
  <c r="BB135" i="5"/>
  <c r="AY52" i="5"/>
  <c r="BD52" i="5" s="1"/>
  <c r="BB52" i="5"/>
  <c r="AY16" i="5"/>
  <c r="BD16" i="5" s="1"/>
  <c r="BB16" i="5"/>
  <c r="AY72" i="5"/>
  <c r="BD72" i="5" s="1"/>
  <c r="BB72" i="5"/>
  <c r="AY90" i="5"/>
  <c r="BD90" i="5" s="1"/>
  <c r="BB90" i="5"/>
  <c r="AY58" i="5"/>
  <c r="BD58" i="5" s="1"/>
  <c r="BB58" i="5"/>
  <c r="AY26" i="5"/>
  <c r="BD26" i="5" s="1"/>
  <c r="BB26" i="5"/>
  <c r="AY188" i="5"/>
  <c r="BD188" i="5" s="1"/>
  <c r="BB188" i="5"/>
  <c r="AY101" i="5"/>
  <c r="BD101" i="5" s="1"/>
  <c r="BB101" i="5"/>
  <c r="AY115" i="5"/>
  <c r="BD115" i="5" s="1"/>
  <c r="BB115" i="5"/>
  <c r="AY70" i="5"/>
  <c r="BD70" i="5" s="1"/>
  <c r="BB70" i="5"/>
  <c r="AY180" i="5"/>
  <c r="BD180" i="5" s="1"/>
  <c r="BB180" i="5"/>
  <c r="AY197" i="5"/>
  <c r="BD197" i="5" s="1"/>
  <c r="BB197" i="5"/>
  <c r="BB163" i="5"/>
  <c r="BB176" i="5"/>
  <c r="BB157" i="5"/>
  <c r="BB74" i="5"/>
  <c r="BB12" i="5"/>
  <c r="BB150" i="5"/>
  <c r="BB66" i="5"/>
  <c r="BB91" i="5"/>
  <c r="BB138" i="5"/>
  <c r="BB137" i="5"/>
  <c r="BB168" i="5"/>
  <c r="BB62" i="5"/>
  <c r="BB193" i="5"/>
  <c r="BB158" i="5"/>
  <c r="BB21" i="5"/>
  <c r="BB81" i="5"/>
  <c r="BB143" i="5"/>
  <c r="BB203" i="5"/>
  <c r="BB170" i="5"/>
  <c r="BB82" i="5"/>
  <c r="BB14" i="5"/>
  <c r="BB86" i="5"/>
  <c r="BB8" i="5"/>
  <c r="BB92" i="5"/>
  <c r="BB113" i="5"/>
  <c r="BB173" i="5"/>
  <c r="BB75" i="5"/>
  <c r="BB151" i="5"/>
  <c r="BB36" i="5"/>
  <c r="BB129" i="5"/>
  <c r="BB34" i="5"/>
  <c r="BB48" i="5"/>
  <c r="BB93" i="5"/>
  <c r="BB18" i="5"/>
  <c r="BB49" i="5"/>
  <c r="BB100" i="5"/>
  <c r="BB124" i="5"/>
  <c r="BB89" i="5"/>
  <c r="BB185" i="5"/>
  <c r="BB35" i="5"/>
  <c r="BB194" i="5"/>
  <c r="BB71" i="5"/>
  <c r="BB175" i="5"/>
  <c r="BB142" i="5"/>
  <c r="BB37" i="5"/>
  <c r="BB160" i="5"/>
  <c r="BB110" i="5"/>
  <c r="BB46" i="5"/>
  <c r="BB94" i="5"/>
  <c r="BB106" i="5"/>
  <c r="BB103" i="5"/>
  <c r="BB4" i="5"/>
  <c r="BB140" i="5"/>
  <c r="BB68" i="5"/>
  <c r="BB41" i="5"/>
</calcChain>
</file>

<file path=xl/sharedStrings.xml><?xml version="1.0" encoding="utf-8"?>
<sst xmlns="http://schemas.openxmlformats.org/spreadsheetml/2006/main" count="602" uniqueCount="428">
  <si>
    <t>Справочник условий Apple-трейдеров — источник КМ от 18.08.2026</t>
  </si>
  <si>
    <t>Контрагент</t>
  </si>
  <si>
    <t>Базис поставки</t>
  </si>
  <si>
    <t>Условия оплаты (договор)</t>
  </si>
  <si>
    <t>Условия оплаты (факт)</t>
  </si>
  <si>
    <t>Оплата в валюте</t>
  </si>
  <si>
    <t>Инвестинг</t>
  </si>
  <si>
    <t>Комиссии / конвертация</t>
  </si>
  <si>
    <t>Инспекция</t>
  </si>
  <si>
    <t>Готовность к инспекции</t>
  </si>
  <si>
    <t>Срок поставки</t>
  </si>
  <si>
    <t>Компенсация брака</t>
  </si>
  <si>
    <t>Комментарий</t>
  </si>
  <si>
    <t>Источник</t>
  </si>
  <si>
    <t>Inonics trading LLC</t>
  </si>
  <si>
    <t>CIP</t>
  </si>
  <si>
    <t>Отсрочка 30 дней, Предоплата 100%, Предоплата/Отсрочка</t>
  </si>
  <si>
    <t>По договорённости - предоплата 100%: 80/20; 70/30; 50/50</t>
  </si>
  <si>
    <t>НБ РБ - RUB</t>
  </si>
  <si>
    <t>нет</t>
  </si>
  <si>
    <t>дополнительно 1% при оплате (наши фин добавляют)</t>
  </si>
  <si>
    <t>10-14 дней</t>
  </si>
  <si>
    <t>да</t>
  </si>
  <si>
    <t>Файл КМ 18.08.2026</t>
  </si>
  <si>
    <t>HuaXun Group Limited</t>
  </si>
  <si>
    <t>Предоплата 20/Отсрочка 80 (CNY), Предоплата 20/Отсрочка 80 (RUB), Предоплата (CNY), Предоплата (RUB), Предоплата (USD)</t>
  </si>
  <si>
    <t>20% предоплата и 80% отсрочка</t>
  </si>
  <si>
    <t>CNY</t>
  </si>
  <si>
    <t>30-60 дней</t>
  </si>
  <si>
    <t>ANGEL TRADE CO., LIMITED</t>
  </si>
  <si>
    <t>DAP</t>
  </si>
  <si>
    <t>Предоплата, Предоплата 50%/Отсрочка 50%, Разовая отсрочка</t>
  </si>
  <si>
    <t>Предоплата 50%/Отсрочка 50% 5 к.д. после прибытия на ПТО</t>
  </si>
  <si>
    <t>НБ РБ - CNY</t>
  </si>
  <si>
    <t>да, на дату оплаты *0,5% (проводится только на первый платёж)</t>
  </si>
  <si>
    <t>0,5%</t>
  </si>
  <si>
    <t>14-30 дней</t>
  </si>
  <si>
    <t>Tech Planet FZCO (ОАЭ)</t>
  </si>
  <si>
    <t>EXW</t>
  </si>
  <si>
    <t>Предоплата</t>
  </si>
  <si>
    <t>Предоплата (частями) - 70%-30%; 80%-20%</t>
  </si>
  <si>
    <t>ЦБ РФ - RUB</t>
  </si>
  <si>
    <t>да, на дату оплаты+0,10 центов (проводится на каждый платёж)</t>
  </si>
  <si>
    <t>1,5% - комиссия агента за рублёвую оплату</t>
  </si>
  <si>
    <t>3-7 дней</t>
  </si>
  <si>
    <t>Al Shiva General Trading FZE (ОАЭ)</t>
  </si>
  <si>
    <t>Предоплата (частями)</t>
  </si>
  <si>
    <t>Предоплата (частями) - 100%, 70%-30%; 80%-20%; 100% после инспекции</t>
  </si>
  <si>
    <t>да, на дату оплаты (проводится на каждый платёж)</t>
  </si>
  <si>
    <t>1,5% - агентские</t>
  </si>
  <si>
    <t>8-10 дней</t>
  </si>
  <si>
    <t>Noviva DWC LLC (ОАЭ)</t>
  </si>
  <si>
    <t>Предоплата 20%/Отсрочка 80% (RUR), Предоплата (20%/80%) (USD), Отсрочка 115 дн, Предоплата</t>
  </si>
  <si>
    <t>Предоплата 20% и 80% после инспекции</t>
  </si>
  <si>
    <t>ЦБ РФ - RUB; AED - фикс курс 3,674</t>
  </si>
  <si>
    <t>1,125% - стоимость конвертации рублей в дирхамы</t>
  </si>
  <si>
    <t>2-5 дней</t>
  </si>
  <si>
    <t>KVN Group FZCO (ОАЭ) - Бигап</t>
  </si>
  <si>
    <t>Отсрочка 5 дн, Предоплата 20%/Отсрочка 80%</t>
  </si>
  <si>
    <t>По договорённости - Предоплата 100% после инспекции; 20/80</t>
  </si>
  <si>
    <t>2-3 дня</t>
  </si>
  <si>
    <t>7-14 дней</t>
  </si>
  <si>
    <t>Metal Market L.L.C-FZ (ОАЭ)</t>
  </si>
  <si>
    <t>FCA, FOB, EXW, DAP, DAT - условия согласовываются на каждую партию товара</t>
  </si>
  <si>
    <t>Отсрочка 7 дн. После поступления товара на ПТО</t>
  </si>
  <si>
    <t>-</t>
  </si>
  <si>
    <t>?</t>
  </si>
  <si>
    <t>FCA, FOB, EXW - да???; DAP, DAT - нет???</t>
  </si>
  <si>
    <t>5 дней</t>
  </si>
  <si>
    <t>FCA, FOB, EXW - обязаны забрать в течение 5 к.д. с подтверждения; DAP, DAT - отгрузить в течение 20 к.д.</t>
  </si>
  <si>
    <t>Инфо только по договору - физически не отгружали</t>
  </si>
  <si>
    <t>Схемы оплаты — шаблоны процентов; фактические даты и курсы задаются в конкретном оффере</t>
  </si>
  <si>
    <t>Поставщик</t>
  </si>
  <si>
    <t>Схема</t>
  </si>
  <si>
    <t>Платёж 1</t>
  </si>
  <si>
    <t>Платёж 2</t>
  </si>
  <si>
    <t>Платёж 3</t>
  </si>
  <si>
    <t>Событие / примечание</t>
  </si>
  <si>
    <t>Статус</t>
  </si>
  <si>
    <t>Ключ (служебный)</t>
  </si>
  <si>
    <t>100%</t>
  </si>
  <si>
    <t>Фактическая дата вручную</t>
  </si>
  <si>
    <t>по факту</t>
  </si>
  <si>
    <t>80/20</t>
  </si>
  <si>
    <t>По договорённости</t>
  </si>
  <si>
    <t>70/30</t>
  </si>
  <si>
    <t>50/50</t>
  </si>
  <si>
    <t>20/80</t>
  </si>
  <si>
    <t>20% предоплата / 80% отсрочка</t>
  </si>
  <si>
    <t>Вторая часть — 5 к.д. после прибытия на ПТО</t>
  </si>
  <si>
    <t>Предоплата частями</t>
  </si>
  <si>
    <t>100% после инспекции</t>
  </si>
  <si>
    <t>После инспекции</t>
  </si>
  <si>
    <t>80% после инспекции</t>
  </si>
  <si>
    <t>РУЧНАЯ</t>
  </si>
  <si>
    <t>Условия партии вводятся вручную</t>
  </si>
  <si>
    <t>не верифицировано</t>
  </si>
  <si>
    <t>Настройки модели и справочные курсы</t>
  </si>
  <si>
    <t>Параметр</t>
  </si>
  <si>
    <t>Значение</t>
  </si>
  <si>
    <t>Ед.</t>
  </si>
  <si>
    <t>Стоимость денег</t>
  </si>
  <si>
    <t>% годовых</t>
  </si>
  <si>
    <t>Рабочая ставка из постановки задачи</t>
  </si>
  <si>
    <t>Допуск суммы долей платежей</t>
  </si>
  <si>
    <t>доля</t>
  </si>
  <si>
    <t>Для проверки 100%</t>
  </si>
  <si>
    <t>Максимальный риск</t>
  </si>
  <si>
    <t>0-100</t>
  </si>
  <si>
    <t>Риск пока информационный, не влияет на победителя</t>
  </si>
  <si>
    <t>Использовать стоимость дефицита</t>
  </si>
  <si>
    <t>Да</t>
  </si>
  <si>
    <t>Да/Нет</t>
  </si>
  <si>
    <t>Глобальный выключатель</t>
  </si>
  <si>
    <t>дата</t>
  </si>
  <si>
    <t>Целевое покрытие спроса, дней</t>
  </si>
  <si>
    <t>дней</t>
  </si>
  <si>
    <t>Для оценки Потребности по факту (остаток+транзит) в 04_Потребность, когда готового плана заказа нет в источнике — можно скорректировать</t>
  </si>
  <si>
    <t>Валюта</t>
  </si>
  <si>
    <t>Курс к BYN</t>
  </si>
  <si>
    <t>Дата/время курса</t>
  </si>
  <si>
    <t>USD</t>
  </si>
  <si>
    <t>Пример</t>
  </si>
  <si>
    <t>RUB</t>
  </si>
  <si>
    <t>AED</t>
  </si>
  <si>
    <t>EUR</t>
  </si>
  <si>
    <t>Ввести</t>
  </si>
  <si>
    <t>Потребность тендера — одна строка на Tender ID + SKU</t>
  </si>
  <si>
    <t>Tender ID</t>
  </si>
  <si>
    <t>Дата тендера</t>
  </si>
  <si>
    <t>Продажи/день, шт</t>
  </si>
  <si>
    <t>ВП/маржа на ед., BYN</t>
  </si>
  <si>
    <t>Считать дефицит</t>
  </si>
  <si>
    <t>Остаток на складе, шт (источник)</t>
  </si>
  <si>
    <t>Транзит, шт (источник)</t>
  </si>
  <si>
    <t>Продажи за 15 дней, шт (источник)</t>
  </si>
  <si>
    <t>Источник данных</t>
  </si>
  <si>
    <t>Тендерный калькулятор — офферы и автоматический выбор</t>
  </si>
  <si>
    <t>ЖЁЛТЫЕ поля — ввод КМ/поставщика. ЗЕЛЁНЫЕ — расчёт. Курс и комиссия задаются по каждому платежу отдельно. Доли платежей (T/X/AB) подтягиваются автоматически по схеме — можно перезаписать вручную. Столбцы BG:BO — SIM/eSIM, страна происхождения, нотификация, сертификат, статус позиции и авто-флаг «Флаг соответствия» (см. 06_Методика).</t>
  </si>
  <si>
    <t>Доступно, шт</t>
  </si>
  <si>
    <t>Цена/ед.</t>
  </si>
  <si>
    <t>Валюта цены</t>
  </si>
  <si>
    <t>Схема оплаты</t>
  </si>
  <si>
    <t>Базис (справ.)</t>
  </si>
  <si>
    <t>Базис факт</t>
  </si>
  <si>
    <t>Инспекция (справ.)</t>
  </si>
  <si>
    <t>Оплата факт (справ.)</t>
  </si>
  <si>
    <t>Срок поставки (справ.)</t>
  </si>
  <si>
    <t>ETA ЦС Минск</t>
  </si>
  <si>
    <t>Ввоз разрешён</t>
  </si>
  <si>
    <t>Документы подтверждены</t>
  </si>
  <si>
    <t>Логистика/ед., BYN</t>
  </si>
  <si>
    <t>Прочие/ед., BYN</t>
  </si>
  <si>
    <t>Страхование, %</t>
  </si>
  <si>
    <t>Платёж1, %</t>
  </si>
  <si>
    <t>Дата плат.1</t>
  </si>
  <si>
    <t>Курс1 к BYN</t>
  </si>
  <si>
    <t>Комиссия1, %</t>
  </si>
  <si>
    <t>Платёж2, %</t>
  </si>
  <si>
    <t>Дата плат.2</t>
  </si>
  <si>
    <t>Курс2 к BYN</t>
  </si>
  <si>
    <t>Комиссия2, %</t>
  </si>
  <si>
    <t>Платёж3, %</t>
  </si>
  <si>
    <t>Дата плат.3</t>
  </si>
  <si>
    <t>Курс3 к BYN</t>
  </si>
  <si>
    <t>Комиссия3, %</t>
  </si>
  <si>
    <t>Риск, 0-100</t>
  </si>
  <si>
    <t>Потребность</t>
  </si>
  <si>
    <t>Нужная дата</t>
  </si>
  <si>
    <t>Продажи/день</t>
  </si>
  <si>
    <t>Маржа/ед.</t>
  </si>
  <si>
    <t>Дефицит вкл.</t>
  </si>
  <si>
    <t>Покрытие</t>
  </si>
  <si>
    <t>Сумма долей</t>
  </si>
  <si>
    <t>Товар/ед., BYN</t>
  </si>
  <si>
    <t>Страх./ед.</t>
  </si>
  <si>
    <t>Cash landed/ед.</t>
  </si>
  <si>
    <t>Стоимость денег/ед.</t>
  </si>
  <si>
    <t>Полная фин. цена/ед.</t>
  </si>
  <si>
    <t>Срок, дней</t>
  </si>
  <si>
    <t>Опоздание, дней</t>
  </si>
  <si>
    <t>Потерянные продажи, шт</t>
  </si>
  <si>
    <t>Потери ВП, BYN</t>
  </si>
  <si>
    <t>Стоимость закупки, BYN</t>
  </si>
  <si>
    <t>Экономическая стоимость, BYN</t>
  </si>
  <si>
    <t>Расчёт допустим</t>
  </si>
  <si>
    <t>Полное покрытие</t>
  </si>
  <si>
    <t>CHEAPEST</t>
  </si>
  <si>
    <t>FASTEST</t>
  </si>
  <si>
    <t>OPTIMAL</t>
  </si>
  <si>
    <t>Причина / статус</t>
  </si>
  <si>
    <t>Row</t>
  </si>
  <si>
    <t>SIM, шт</t>
  </si>
  <si>
    <t>eSIM, шт</t>
  </si>
  <si>
    <t>Страна происхождения</t>
  </si>
  <si>
    <t>Нотификация</t>
  </si>
  <si>
    <t>Сертификат/протокол №</t>
  </si>
  <si>
    <t>Сертификат действ. до</t>
  </si>
  <si>
    <t>Статус позиции</t>
  </si>
  <si>
    <t>Проверка SIM/eSIM</t>
  </si>
  <si>
    <t>Флаг соответствия</t>
  </si>
  <si>
    <t>Комментарий (соответствие)</t>
  </si>
  <si>
    <t>Срок действия оффера, до</t>
  </si>
  <si>
    <t>Named place / точка передачи</t>
  </si>
  <si>
    <t>Кто организует межд. логистику</t>
  </si>
  <si>
    <t>Регион/рынок устройства</t>
  </si>
  <si>
    <t>Статус документа соответствия</t>
  </si>
  <si>
    <t>Предлагаемый артикул/наименование</t>
  </si>
  <si>
    <t>Предлагаемый цвет</t>
  </si>
  <si>
    <t>Есть отличие от запроса</t>
  </si>
  <si>
    <t>ТЕНДЕРНЫЙ КАЛЬКУЛЯТОР APPLE — панель решения</t>
  </si>
  <si>
    <t>Выбор для просмотра</t>
  </si>
  <si>
    <t>Потребность, шт</t>
  </si>
  <si>
    <t>Нужная дата ЦС</t>
  </si>
  <si>
    <t>Результат</t>
  </si>
  <si>
    <t>Логика</t>
  </si>
  <si>
    <t>Строка</t>
  </si>
  <si>
    <t>Риск</t>
  </si>
  <si>
    <t>Самый дешёвый</t>
  </si>
  <si>
    <t>Минимальная полная финансовая стоимость закупки</t>
  </si>
  <si>
    <t>Самый быстрый</t>
  </si>
  <si>
    <t>Минимальная ETA на ЦС</t>
  </si>
  <si>
    <t>Оптимальный</t>
  </si>
  <si>
    <t>Минимальная экономическая стоимость = закупка + потери от дефицита</t>
  </si>
  <si>
    <t>Как считается Optimal</t>
  </si>
  <si>
    <t>Optimal не использует субъективные веса цены и скорости. Он переводит опоздание в деньги: потерянные продажи = min(потребность; продажи/день × дни опоздания), потери ВП = потерянные продажи × маржа/ед. Затем сравнивается стоимость закупки + потери ВП. Если расчёт дефицита отключён — Optimal совпадает с самым дешёвым вариантом.</t>
  </si>
  <si>
    <t>Ключевой принцип</t>
  </si>
  <si>
    <t>ДОПУСК → ЭКОНОМИКА → РЕШЕНИЕ. Оффер не участвует в сравнении (Cheapest/Fastest/Optimal), пока не раскрыты все критические данные, ввоз не разрешён Patio, документы/нотификация не подтверждены (или прямо помечены «не требуется»), а доли платежей не сходятся к 100%. Цена и скорость не компенсируют отсутствие данных или несоблюдение хард-стопов — такой оффер получает BLOCK и не ранжируется, а не «худший, но допущенный» результат.</t>
  </si>
  <si>
    <t>Методика расчёта — контрольная карта</t>
  </si>
  <si>
    <t>№</t>
  </si>
  <si>
    <t>Показатель</t>
  </si>
  <si>
    <t>Формула / правило</t>
  </si>
  <si>
    <t>Зачем</t>
  </si>
  <si>
    <t>Примечание</t>
  </si>
  <si>
    <t>Стоимость товара/ед.</t>
  </si>
  <si>
    <t>Цена × Σ(доля платежа × курс платежа × (1+комиссия платежа))</t>
  </si>
  <si>
    <t>Учитывает разные даты/курсы/комиссии по траншам</t>
  </si>
  <si>
    <t>Товар + страхование + логистика + прочие расходы</t>
  </si>
  <si>
    <t>Цена на ЦС до стоимости денег</t>
  </si>
  <si>
    <t>Не дублировать расходы, уже включённые в базис</t>
  </si>
  <si>
    <t>Σ(сумма транша × 13% × max(0; ETA−дата платежа)/365)</t>
  </si>
  <si>
    <t>Цена предоплаты и замороженных денег</t>
  </si>
  <si>
    <t>Отсрочка после ETA не получает отрицательный бонус</t>
  </si>
  <si>
    <t>Cash landed + стоимость денег</t>
  </si>
  <si>
    <t>Основа CHEAPEST</t>
  </si>
  <si>
    <t>min(1; доступно/потребность)</t>
  </si>
  <si>
    <t>Контроль частичных офферов</t>
  </si>
  <si>
    <t>Частичный оффер не может быть единственным победителем MVP</t>
  </si>
  <si>
    <t>Опоздание</t>
  </si>
  <si>
    <t>max(0; ETA−нужная дата ЦС)</t>
  </si>
  <si>
    <t>Связь скорости и экономики</t>
  </si>
  <si>
    <t>Потерянные продажи</t>
  </si>
  <si>
    <t>min(потребность; продажи/день × опоздание)</t>
  </si>
  <si>
    <t>Монетизация дефицита</t>
  </si>
  <si>
    <t>Только при включённом расчёте дефицита</t>
  </si>
  <si>
    <t>Потери ВП</t>
  </si>
  <si>
    <t>потерянные продажи × маржа/ед.</t>
  </si>
  <si>
    <t>Стоимость опоздания</t>
  </si>
  <si>
    <t>Стоимость закупки</t>
  </si>
  <si>
    <t>полная фин. цена/ед. × потребность</t>
  </si>
  <si>
    <t>Сравнение офферов на одинаковом объёме</t>
  </si>
  <si>
    <t>Только полное покрытие</t>
  </si>
  <si>
    <t>Экономическая стоимость</t>
  </si>
  <si>
    <t>стоимость закупки + потери ВП</t>
  </si>
  <si>
    <t>Основа OPTIMAL</t>
  </si>
  <si>
    <t>минимальная стоимость закупки среди допустимых офферов с полным покрытием</t>
  </si>
  <si>
    <t>минимальная ETA среди допустимых офферов с полным покрытием</t>
  </si>
  <si>
    <t>минимальная экономическая стоимость среди допустимых офферов с полным покрытием</t>
  </si>
  <si>
    <t>Без субъективных весов цены/скорости</t>
  </si>
  <si>
    <t>Hard stop</t>
  </si>
  <si>
    <t>ввоз ≠ Да; документы ≠ Да; доли платежей ≠100%; нет цены/ETA/курса/дат</t>
  </si>
  <si>
    <t>Исключение ошибочного победителя</t>
  </si>
  <si>
    <t>Доли платежей 1/2/3 подтягиваются автоматически по ключу «Поставщик|Схема» из листа «02_Схемы оплаты»; КМ может вручную переписать %, если нужна нестандартная разбивка</t>
  </si>
  <si>
    <t>Меньше ручного ввода и ошибок в процентах</t>
  </si>
  <si>
    <t>Правки в T/X/AB допустимы — формула просто перезаписывается значением</t>
  </si>
  <si>
    <t>Если «Статус позиции» = Приостановлена/Отменена — оффер не может стать победителем (аналог отмены строки без порчи данных)</t>
  </si>
  <si>
    <t>Замена текстового хака «отмена!!!!» из старой формы</t>
  </si>
  <si>
    <t>Пусто = считается Активна</t>
  </si>
  <si>
    <t>⚠Ввоз / ⚠Документы / ⚠Нотификация / ⚠SIM/eSIM / ⚠СертИстёк / ⚠НетСерт№, иначе OK</t>
  </si>
  <si>
    <t>Автоматическое выявление ограничений по импорту/сертификации без ручной проверки</t>
  </si>
  <si>
    <t>Не блокирует расчёт сам по себе (кроме Ввоз/Документы, которые уже блокируют через AZ) — это сигнал для КМ, что нужно уточнить у поставщика</t>
  </si>
  <si>
    <t>Контроль перед использованием результата тендера</t>
  </si>
  <si>
    <t>Проверка</t>
  </si>
  <si>
    <t>Что должно быть</t>
  </si>
  <si>
    <t>Критично</t>
  </si>
  <si>
    <t>Для Tender ID + SKU заполнены дата тендера, количество и нужная дата</t>
  </si>
  <si>
    <t>Цена</t>
  </si>
  <si>
    <t>Цена и валюта оффера заполнены</t>
  </si>
  <si>
    <t>Платежи</t>
  </si>
  <si>
    <t>Сумма долей = 100%; для каждого активного транша есть дата и курс</t>
  </si>
  <si>
    <t>Комиссии</t>
  </si>
  <si>
    <t>Комиссия задана именно на том платеже, к которому реально применяется</t>
  </si>
  <si>
    <t>Логистика</t>
  </si>
  <si>
    <t>Введены только расходы, не включённые уже в базис/цену</t>
  </si>
  <si>
    <t>ETA</t>
  </si>
  <si>
    <t>Указана дата прихода именно на ЦС Минск</t>
  </si>
  <si>
    <t>Документы</t>
  </si>
  <si>
    <t>Ввоз разрешён = Да; документы подтверждены = Да</t>
  </si>
  <si>
    <t>Дефицит</t>
  </si>
  <si>
    <t>Продажи/день и маржа заполнены только если их можно обосновать</t>
  </si>
  <si>
    <t>Частичный оффер</t>
  </si>
  <si>
    <t>Не принимать как единственного победителя, если доступно &lt; потребности</t>
  </si>
  <si>
    <t>Metal Market</t>
  </si>
  <si>
    <t>До первых фактических поставок неоднозначные условия вводить вручную</t>
  </si>
  <si>
    <t>Выбрана схема именно того поставщика, что указан в оффере (иначе доли платежей не подтянутся — будут нули)</t>
  </si>
  <si>
    <t>Отменённые/приостановленные позиции помечены в «Статус позиции», а не текстом в поле цвета/названия</t>
  </si>
  <si>
    <t>Соответствие</t>
  </si>
  <si>
    <t>Столбец «Флаг соответствия» = OK по всем офферам, которые рассматриваются как победители</t>
  </si>
  <si>
    <t>Источники и статус входных данных</t>
  </si>
  <si>
    <t>Заполняется и обновляется КМ при каждом пересчёте тендера. «Статус» отмечает, можно ли доверять данным как текущим, или они устарели и требуют подтверждения.</t>
  </si>
  <si>
    <t>Дата</t>
  </si>
  <si>
    <t>Как использован</t>
  </si>
  <si>
    <t>Свод инфо по Apple-трейдерам (файл КМ)</t>
  </si>
  <si>
    <t>18.08.2026</t>
  </si>
  <si>
    <t>Справочник условий поставщиков — 01_Поставщики</t>
  </si>
  <si>
    <t>Свежий источник</t>
  </si>
  <si>
    <t>Форма заявки поставщику (по каждому тендеру)</t>
  </si>
  <si>
    <t>заполняется по факту</t>
  </si>
  <si>
    <t>Строки 05_Офферы — вставка из персикового блока формы</t>
  </si>
  <si>
    <t>Обновлять на каждый тендер</t>
  </si>
  <si>
    <t>Потребность / таргет КМ</t>
  </si>
  <si>
    <t>04_Потребность — количество, нужная дата, продажи/день, маржа</t>
  </si>
  <si>
    <t>Курсы валют</t>
  </si>
  <si>
    <t>03_Настройки — курсы к BYN на дату расчёта</t>
  </si>
  <si>
    <t>Не использовать курс старше нескольких дней без проверки</t>
  </si>
  <si>
    <t>Дата расчёта</t>
  </si>
  <si>
    <t>Наименование / SKU</t>
  </si>
  <si>
    <t>SKU / Артикул Patio</t>
  </si>
  <si>
    <t>Замена согласована Patio</t>
  </si>
  <si>
    <t>Полнота формы</t>
  </si>
  <si>
    <t>Модель / A-number</t>
  </si>
  <si>
    <t>Наименование</t>
  </si>
  <si>
    <t>Нотификация № / срок</t>
  </si>
  <si>
    <t>Срок оффера, named place, логистика, рынок, A-number, происхождение, SIM/eSIM и документы</t>
  </si>
  <si>
    <t>Цена не компенсирует неполный ответ</t>
  </si>
  <si>
    <t>Замена</t>
  </si>
  <si>
    <t>Если поставщик предлагает отличие, требуется отдельное согласование Patio</t>
  </si>
  <si>
    <t>Другой товар не сравнивается как исходный SKU</t>
  </si>
  <si>
    <t>Совместимость</t>
  </si>
  <si>
    <t>Победители COUNTIFS; панель SUMIFS; статусы без TEXTJOIN</t>
  </si>
  <si>
    <t>Техническая устойчивость</t>
  </si>
  <si>
    <t>Нет MINIFS/MAXIFS/TEXTJOIN</t>
  </si>
  <si>
    <t>Срок оффера</t>
  </si>
  <si>
    <t>Оффер должен быть действителен на дату расчёта</t>
  </si>
  <si>
    <t>Просроченная цена не участвует</t>
  </si>
  <si>
    <t>Форма</t>
  </si>
  <si>
    <t>Калькулятор принимает текущую рабочую форму с минимальными изменениями</t>
  </si>
  <si>
    <t>Основной интерфейс КМ</t>
  </si>
  <si>
    <t>Форма не подстраивается под движок</t>
  </si>
  <si>
    <t>Минимальные изменения</t>
  </si>
  <si>
    <t>Единая потребность; нужная дата ЦС; статус позиции; ясная цепочка цены; модель/код; сертификат; цветовое разделение ролей</t>
  </si>
  <si>
    <t>Без перестройки процесса</t>
  </si>
  <si>
    <t>Сохранена привычная форма</t>
  </si>
  <si>
    <t>Claude — калькулятор</t>
  </si>
  <si>
    <t>20.08.2026</t>
  </si>
  <si>
    <t>Сохранены сильные блоки: источники потребности, схемы оплаты, соответствие</t>
  </si>
  <si>
    <t>Проанализирован</t>
  </si>
  <si>
    <t>MINIFS/TEXTJOIN заменены</t>
  </si>
  <si>
    <t>Claude — форма заявки</t>
  </si>
  <si>
    <t>Сохранены сильные поля: срок оффера, named place, рынок, документы</t>
  </si>
  <si>
    <t>Обезличена в финальной форме</t>
  </si>
  <si>
    <t>Итоговая версия</t>
  </si>
  <si>
    <t>Единая модель допуска и выбора</t>
  </si>
  <si>
    <t>Текущая</t>
  </si>
  <si>
    <t>Без демонстрационных закупочных данных</t>
  </si>
  <si>
    <t>Текущая рабочая форма Apple/Noviva</t>
  </si>
  <si>
    <t>04.08.2026</t>
  </si>
  <si>
    <t>Взята как 100% основа пользовательского процесса</t>
  </si>
  <si>
    <t>Старше 2 недель — структура, не текущие цены/количества</t>
  </si>
  <si>
    <t>Оптимизированная форма</t>
  </si>
  <si>
    <t>Минимально скорректирована и состыкована с калькулятором</t>
  </si>
  <si>
    <t>Текущая версия</t>
  </si>
  <si>
    <t>Поле текущей формы</t>
  </si>
  <si>
    <t>Колонка</t>
  </si>
  <si>
    <t>Поле калькулятора</t>
  </si>
  <si>
    <t>Куда попадает</t>
  </si>
  <si>
    <t>A</t>
  </si>
  <si>
    <t>SKU / наименование</t>
  </si>
  <si>
    <t>04_Потребность / 05_Офферы</t>
  </si>
  <si>
    <t>Основная позиция</t>
  </si>
  <si>
    <t>Цвет</t>
  </si>
  <si>
    <t>B</t>
  </si>
  <si>
    <t>Цвет / описание</t>
  </si>
  <si>
    <t>Не отдельный расчетный ключ</t>
  </si>
  <si>
    <t>C</t>
  </si>
  <si>
    <t>04_Потребность</t>
  </si>
  <si>
    <t>Единое поле</t>
  </si>
  <si>
    <t>Нужная дата на ЦС</t>
  </si>
  <si>
    <t>D</t>
  </si>
  <si>
    <t>Небольшое добавление к текущей форме</t>
  </si>
  <si>
    <t>E</t>
  </si>
  <si>
    <t>05_Офферы BM</t>
  </si>
  <si>
    <t>Активна / Нет предложения / Отменена</t>
  </si>
  <si>
    <t>SIM</t>
  </si>
  <si>
    <t>F</t>
  </si>
  <si>
    <t>05_Офферы BG</t>
  </si>
  <si>
    <t>eSIM</t>
  </si>
  <si>
    <t>G</t>
  </si>
  <si>
    <t>05_Офферы BH</t>
  </si>
  <si>
    <t>Возможность к поставке</t>
  </si>
  <si>
    <t>H</t>
  </si>
  <si>
    <t>05_Офферы D</t>
  </si>
  <si>
    <t>Цена поставщика</t>
  </si>
  <si>
    <t>I</t>
  </si>
  <si>
    <t>Цена оффера</t>
  </si>
  <si>
    <t>05_Офферы E</t>
  </si>
  <si>
    <t>Таргет КМ</t>
  </si>
  <si>
    <t>J</t>
  </si>
  <si>
    <t>Таргет</t>
  </si>
  <si>
    <t>справочно</t>
  </si>
  <si>
    <t>Не влияет на рейтинг напрямую</t>
  </si>
  <si>
    <t>Финальная цена</t>
  </si>
  <si>
    <t>K</t>
  </si>
  <si>
    <t>Цена к расчету</t>
  </si>
  <si>
    <t>Если заполнена — приоритет над первоначальной</t>
  </si>
  <si>
    <t>Страна производства</t>
  </si>
  <si>
    <t>L</t>
  </si>
  <si>
    <t>05_Офферы BT</t>
  </si>
  <si>
    <t>M</t>
  </si>
  <si>
    <t>05_Офферы BJ</t>
  </si>
  <si>
    <t>Модель / код устройства</t>
  </si>
  <si>
    <t>N</t>
  </si>
  <si>
    <t>05_Офферы CA</t>
  </si>
  <si>
    <t>Сертификат / действующий протокол</t>
  </si>
  <si>
    <t>O</t>
  </si>
  <si>
    <t>Документ</t>
  </si>
  <si>
    <t>05_Офферы BK / P</t>
  </si>
  <si>
    <t>Проверка документа — внутренняя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</si>
</sst>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0.0%"/>
    <numFmt numFmtId="165" formatCode="0.000"/>
    <numFmt numFmtId="166" formatCode="dd\.mm\.yyyy"/>
    <numFmt numFmtId="167" formatCode="dd\.mm\.yyyy\ hh:mm"/>
    <numFmt numFmtId="168" formatCode="#,##0.00;[Red]\(#,##0.00\);\-"/>
    <numFmt numFmtId="169" formatCode="0.000000"/>
    <numFmt numFmtId="170" formatCode="0.0"/>
    <numFmt numFmtId="171" formatCode="#,##0.00&quot; BYN&quot;"/>
  </numFmts>
  <fonts count="18" x14ac:knownFonts="1">
    <font>
      <sz val="10"/>
      <name val="Arial"/>
    </font>
    <font>
      <b/>
      <sz val="16"/>
      <color rgb="FFFFFFFF"/>
      <name val="Calibri"/>
    </font>
    <font>
      <b/>
      <sz val="11"/>
      <color rgb="FFFFFFFF"/>
      <name val="Calibri"/>
    </font>
    <font>
      <sz val="11"/>
      <name val="Calibri"/>
    </font>
    <font>
      <b/>
      <sz val="10"/>
      <color rgb="FFFFFFFF"/>
      <name val="Arial"/>
    </font>
    <font>
      <sz val="9"/>
      <color rgb="FF808080"/>
      <name val="Arial"/>
    </font>
    <font>
      <b/>
      <sz val="11"/>
      <color rgb="FF1F1F1F"/>
      <name val="Calibri"/>
    </font>
    <font>
      <sz val="11"/>
      <color rgb="FF0000CC"/>
      <name val="Calibri"/>
    </font>
    <font>
      <sz val="9"/>
      <name val="Arial"/>
    </font>
    <font>
      <b/>
      <sz val="11"/>
      <name val="Calibri"/>
    </font>
    <font>
      <sz val="11"/>
      <color rgb="FF1F1F1F"/>
      <name val="Calibri"/>
    </font>
    <font>
      <sz val="10"/>
      <name val="Arial"/>
    </font>
    <font>
      <b/>
      <sz val="10"/>
      <color rgb="FFC00000"/>
      <name val="Arial"/>
    </font>
    <font>
      <i/>
      <sz val="9"/>
      <color rgb="FFC00000"/>
      <name val="Arial"/>
    </font>
    <font>
      <b/>
      <sz val="12"/>
      <color rgb="FF17365D"/>
      <name val="Arial"/>
    </font>
    <font>
      <i/>
      <sz val="9"/>
      <color rgb="FF595959"/>
      <name val="Arial"/>
    </font>
    <font>
      <b/>
      <sz val="13"/>
      <color rgb="FF17365D"/>
      <name val="Arial"/>
    </font>
    <font>
      <i/>
      <sz val="9"/>
      <color rgb="FF808080"/>
      <name val="Arial"/>
    </font>
  </fonts>
  <fills count="13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DDEBF7"/>
      </patternFill>
    </fill>
    <fill>
      <patternFill patternType="solid">
        <fgColor rgb="FFF3F6F9"/>
      </patternFill>
    </fill>
    <fill>
      <patternFill patternType="solid">
        <fgColor rgb="FF17365D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17365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0" borderId="0" xfId="0" applyAlignme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/>
    <xf numFmtId="9" fontId="3" fillId="0" borderId="0" xfId="0" applyNumberFormat="1" applyFont="1" applyAlignment="1">
      <alignment wrapText="1"/>
    </xf>
    <xf numFmtId="0" fontId="5" fillId="0" borderId="1" xfId="0" applyFont="1" applyBorder="1" applyAlignment="1"/>
    <xf numFmtId="0" fontId="6" fillId="3" borderId="0" xfId="0" applyFont="1" applyFill="1" applyAlignment="1">
      <alignment wrapText="1"/>
    </xf>
    <xf numFmtId="164" fontId="7" fillId="4" borderId="0" xfId="0" applyNumberFormat="1" applyFont="1" applyFill="1" applyAlignment="1">
      <alignment wrapText="1"/>
    </xf>
    <xf numFmtId="165" fontId="7" fillId="4" borderId="0" xfId="0" applyNumberFormat="1" applyFont="1" applyFill="1" applyAlignment="1">
      <alignment wrapText="1"/>
    </xf>
    <xf numFmtId="0" fontId="7" fillId="4" borderId="0" xfId="0" applyFont="1" applyFill="1" applyAlignment="1">
      <alignment wrapText="1"/>
    </xf>
    <xf numFmtId="166" fontId="7" fillId="4" borderId="0" xfId="0" applyNumberFormat="1" applyFont="1" applyFill="1" applyAlignment="1">
      <alignment wrapText="1"/>
    </xf>
    <xf numFmtId="0" fontId="8" fillId="0" borderId="1" xfId="0" applyFont="1" applyBorder="1" applyAlignment="1"/>
    <xf numFmtId="0" fontId="8" fillId="4" borderId="1" xfId="0" applyFont="1" applyFill="1" applyBorder="1" applyAlignment="1"/>
    <xf numFmtId="0" fontId="0" fillId="0" borderId="1" xfId="0" applyFont="1" applyBorder="1" applyAlignment="1"/>
    <xf numFmtId="167" fontId="7" fillId="4" borderId="0" xfId="0" applyNumberFormat="1" applyFont="1" applyFill="1" applyAlignment="1">
      <alignment wrapText="1"/>
    </xf>
    <xf numFmtId="0" fontId="3" fillId="5" borderId="0" xfId="0" applyFont="1" applyFill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wrapText="1"/>
    </xf>
    <xf numFmtId="166" fontId="8" fillId="4" borderId="1" xfId="0" applyNumberFormat="1" applyFont="1" applyFill="1" applyBorder="1" applyAlignment="1">
      <alignment wrapText="1"/>
    </xf>
    <xf numFmtId="0" fontId="8" fillId="6" borderId="1" xfId="0" applyFont="1" applyFill="1" applyBorder="1" applyAlignment="1">
      <alignment wrapText="1"/>
    </xf>
    <xf numFmtId="2" fontId="8" fillId="6" borderId="1" xfId="0" applyNumberFormat="1" applyFont="1" applyFill="1" applyBorder="1" applyAlignment="1">
      <alignment wrapText="1"/>
    </xf>
    <xf numFmtId="2" fontId="8" fillId="4" borderId="1" xfId="0" applyNumberFormat="1" applyFont="1" applyFill="1" applyBorder="1" applyAlignment="1">
      <alignment wrapText="1"/>
    </xf>
    <xf numFmtId="0" fontId="8" fillId="7" borderId="1" xfId="0" applyFont="1" applyFill="1" applyBorder="1" applyAlignment="1"/>
    <xf numFmtId="2" fontId="7" fillId="4" borderId="0" xfId="0" applyNumberFormat="1" applyFont="1" applyFill="1" applyAlignment="1">
      <alignment wrapText="1"/>
    </xf>
    <xf numFmtId="0" fontId="10" fillId="6" borderId="0" xfId="0" applyFont="1" applyFill="1" applyAlignment="1">
      <alignment wrapText="1"/>
    </xf>
    <xf numFmtId="166" fontId="10" fillId="6" borderId="0" xfId="0" applyNumberFormat="1" applyFont="1" applyFill="1" applyAlignment="1">
      <alignment wrapText="1"/>
    </xf>
    <xf numFmtId="168" fontId="7" fillId="4" borderId="0" xfId="0" applyNumberFormat="1" applyFont="1" applyFill="1" applyAlignment="1">
      <alignment wrapText="1"/>
    </xf>
    <xf numFmtId="169" fontId="7" fillId="4" borderId="0" xfId="0" applyNumberFormat="1" applyFont="1" applyFill="1" applyAlignment="1">
      <alignment wrapText="1"/>
    </xf>
    <xf numFmtId="168" fontId="10" fillId="6" borderId="0" xfId="0" applyNumberFormat="1" applyFont="1" applyFill="1" applyAlignment="1">
      <alignment wrapText="1"/>
    </xf>
    <xf numFmtId="164" fontId="10" fillId="6" borderId="0" xfId="0" applyNumberFormat="1" applyFont="1" applyFill="1" applyAlignment="1">
      <alignment wrapText="1"/>
    </xf>
    <xf numFmtId="1" fontId="10" fillId="6" borderId="0" xfId="0" applyNumberFormat="1" applyFont="1" applyFill="1" applyAlignment="1">
      <alignment wrapText="1"/>
    </xf>
    <xf numFmtId="170" fontId="10" fillId="6" borderId="0" xfId="0" applyNumberFormat="1" applyFont="1" applyFill="1" applyAlignment="1">
      <alignment wrapText="1"/>
    </xf>
    <xf numFmtId="0" fontId="11" fillId="4" borderId="1" xfId="0" applyFont="1" applyFill="1" applyBorder="1" applyAlignment="1">
      <alignment vertical="top" wrapText="1"/>
    </xf>
    <xf numFmtId="166" fontId="11" fillId="4" borderId="1" xfId="0" applyNumberFormat="1" applyFont="1" applyFill="1" applyBorder="1" applyAlignment="1"/>
    <xf numFmtId="0" fontId="11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3" fillId="0" borderId="0" xfId="0" applyFont="1" applyAlignment="1"/>
    <xf numFmtId="166" fontId="8" fillId="4" borderId="1" xfId="0" applyNumberFormat="1" applyFont="1" applyFill="1" applyBorder="1" applyAlignment="1"/>
    <xf numFmtId="0" fontId="8" fillId="6" borderId="1" xfId="0" applyFont="1" applyFill="1" applyBorder="1" applyAlignment="1"/>
    <xf numFmtId="166" fontId="3" fillId="0" borderId="0" xfId="0" applyNumberFormat="1" applyFont="1" applyAlignment="1"/>
    <xf numFmtId="171" fontId="3" fillId="0" borderId="0" xfId="0" applyNumberFormat="1" applyFont="1" applyAlignment="1"/>
    <xf numFmtId="0" fontId="11" fillId="0" borderId="1" xfId="0" applyFont="1" applyBorder="1" applyAlignment="1"/>
    <xf numFmtId="0" fontId="11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166" fontId="7" fillId="4" borderId="0" xfId="0" applyNumberFormat="1" applyFont="1" applyFill="1" applyBorder="1" applyAlignment="1">
      <alignment wrapText="1"/>
    </xf>
    <xf numFmtId="0" fontId="4" fillId="9" borderId="0" xfId="0" applyNumberFormat="1" applyFont="1" applyFill="1" applyBorder="1" applyAlignment="1">
      <alignment wrapText="1"/>
    </xf>
    <xf numFmtId="0" fontId="0" fillId="10" borderId="0" xfId="0" applyNumberFormat="1" applyFont="1" applyFill="1" applyBorder="1"/>
    <xf numFmtId="0" fontId="0" fillId="11" borderId="0" xfId="0" applyNumberFormat="1" applyFont="1" applyFill="1" applyBorder="1"/>
    <xf numFmtId="0" fontId="4" fillId="12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wrapText="1"/>
    </xf>
    <xf numFmtId="0" fontId="6" fillId="3" borderId="0" xfId="0" applyFont="1" applyFill="1" applyBorder="1" applyAlignment="1">
      <alignment wrapText="1"/>
    </xf>
    <xf numFmtId="0" fontId="3" fillId="8" borderId="0" xfId="0" applyFont="1" applyFill="1" applyBorder="1" applyAlignment="1">
      <alignment wrapText="1"/>
    </xf>
    <xf numFmtId="0" fontId="14" fillId="0" borderId="0" xfId="0" applyFont="1" applyBorder="1" applyAlignment="1"/>
    <xf numFmtId="0" fontId="15" fillId="0" borderId="0" xfId="0" applyFont="1" applyBorder="1" applyAlignment="1">
      <alignment vertical="top" wrapText="1"/>
    </xf>
    <xf numFmtId="0" fontId="16" fillId="0" borderId="0" xfId="0" applyFont="1" applyBorder="1" applyAlignment="1"/>
    <xf numFmtId="0" fontId="17" fillId="0" borderId="0" xfId="0" applyFont="1" applyBorder="1" applyAlignment="1">
      <alignment vertical="top" wrapText="1"/>
    </xf>
  </cellXfs>
  <cellStyles count="1">
    <cellStyle name="Обычный" xfId="0" builtinId="0"/>
  </cellStyles>
  <dxfs count="4">
    <dxf>
      <font>
        <b/>
        <color rgb="FF9C0006"/>
      </font>
      <fill>
        <patternFill>
          <bgColor rgb="FFF4CCCC"/>
        </patternFill>
      </fill>
    </dxf>
    <dxf>
      <font>
        <b/>
      </font>
      <fill>
        <patternFill>
          <bgColor rgb="FFC6EFCE"/>
        </patternFill>
      </fill>
    </dxf>
    <dxf>
      <fill>
        <patternFill>
          <bgColor rgb="FFFCE4D6"/>
        </patternFill>
      </fill>
    </dxf>
    <dxf>
      <font>
        <b/>
        <color rgb="FF9C0006"/>
      </font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CC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FCE4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C6EFCE"/>
      <rgbColor rgb="FFE2F0D9"/>
      <rgbColor rgb="FFF3F6F9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workbookViewId="0">
      <selection activeCell="C8" sqref="C8"/>
    </sheetView>
  </sheetViews>
  <sheetFormatPr defaultColWidth="8.6640625" defaultRowHeight="12.75" x14ac:dyDescent="0.35"/>
  <cols>
    <col min="1" max="1" width="30" style="1" customWidth="1"/>
    <col min="2" max="2" width="17" style="1" customWidth="1"/>
    <col min="3" max="4" width="38" style="1" customWidth="1"/>
    <col min="5" max="7" width="27" style="1" customWidth="1"/>
    <col min="8" max="8" width="17" style="1" customWidth="1"/>
    <col min="9" max="10" width="27" style="1" customWidth="1"/>
    <col min="11" max="11" width="18" style="1" customWidth="1"/>
    <col min="12" max="12" width="42" style="1" customWidth="1"/>
    <col min="13" max="13" width="20" style="1" customWidth="1"/>
  </cols>
  <sheetData>
    <row r="1" spans="1:13" ht="21" x14ac:dyDescent="0.3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</row>
    <row r="3" spans="1:13" ht="14.25" x14ac:dyDescent="0.3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ht="28.5" x14ac:dyDescent="0.4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19</v>
      </c>
      <c r="I4" s="3" t="s">
        <v>19</v>
      </c>
      <c r="J4" s="3" t="s">
        <v>21</v>
      </c>
      <c r="K4" s="3" t="s">
        <v>22</v>
      </c>
      <c r="L4" s="3"/>
      <c r="M4" s="3" t="s">
        <v>23</v>
      </c>
    </row>
    <row r="5" spans="1:13" ht="57" x14ac:dyDescent="0.45">
      <c r="A5" s="3" t="s">
        <v>24</v>
      </c>
      <c r="B5" s="3" t="s">
        <v>15</v>
      </c>
      <c r="C5" s="3" t="s">
        <v>25</v>
      </c>
      <c r="D5" s="3" t="s">
        <v>26</v>
      </c>
      <c r="E5" s="3" t="s">
        <v>27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28</v>
      </c>
      <c r="K5" s="3" t="s">
        <v>19</v>
      </c>
      <c r="L5" s="3"/>
      <c r="M5" s="3" t="s">
        <v>23</v>
      </c>
    </row>
    <row r="6" spans="1:13" ht="42.75" x14ac:dyDescent="0.45">
      <c r="A6" s="3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  <c r="G6" s="3" t="s">
        <v>35</v>
      </c>
      <c r="H6" s="3" t="s">
        <v>19</v>
      </c>
      <c r="I6" s="3" t="s">
        <v>19</v>
      </c>
      <c r="J6" s="3" t="s">
        <v>36</v>
      </c>
      <c r="K6" s="3" t="s">
        <v>19</v>
      </c>
      <c r="L6" s="3"/>
      <c r="M6" s="3" t="s">
        <v>23</v>
      </c>
    </row>
    <row r="7" spans="1:13" ht="42.75" x14ac:dyDescent="0.45">
      <c r="A7" s="3" t="s">
        <v>37</v>
      </c>
      <c r="B7" s="3" t="s">
        <v>38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  <c r="H7" s="3" t="s">
        <v>22</v>
      </c>
      <c r="I7" s="3" t="s">
        <v>44</v>
      </c>
      <c r="J7" s="3" t="s">
        <v>36</v>
      </c>
      <c r="K7" s="3" t="s">
        <v>19</v>
      </c>
      <c r="L7" s="3"/>
      <c r="M7" s="3" t="s">
        <v>23</v>
      </c>
    </row>
    <row r="8" spans="1:13" ht="28.5" x14ac:dyDescent="0.45">
      <c r="A8" s="3" t="s">
        <v>45</v>
      </c>
      <c r="B8" s="3" t="s">
        <v>38</v>
      </c>
      <c r="C8" s="3" t="s">
        <v>46</v>
      </c>
      <c r="D8" s="3" t="s">
        <v>47</v>
      </c>
      <c r="E8" s="3" t="s">
        <v>41</v>
      </c>
      <c r="F8" s="3" t="s">
        <v>48</v>
      </c>
      <c r="G8" s="3" t="s">
        <v>49</v>
      </c>
      <c r="H8" s="3" t="s">
        <v>22</v>
      </c>
      <c r="I8" s="3" t="s">
        <v>50</v>
      </c>
      <c r="J8" s="3" t="s">
        <v>36</v>
      </c>
      <c r="K8" s="3" t="s">
        <v>19</v>
      </c>
      <c r="L8" s="3"/>
      <c r="M8" s="3" t="s">
        <v>23</v>
      </c>
    </row>
    <row r="9" spans="1:13" ht="42.75" x14ac:dyDescent="0.45">
      <c r="A9" s="3" t="s">
        <v>51</v>
      </c>
      <c r="B9" s="3" t="s">
        <v>38</v>
      </c>
      <c r="C9" s="3" t="s">
        <v>52</v>
      </c>
      <c r="D9" s="3" t="s">
        <v>53</v>
      </c>
      <c r="E9" s="3" t="s">
        <v>54</v>
      </c>
      <c r="F9" s="3" t="s">
        <v>19</v>
      </c>
      <c r="G9" s="3" t="s">
        <v>55</v>
      </c>
      <c r="H9" s="3" t="s">
        <v>22</v>
      </c>
      <c r="I9" s="3" t="s">
        <v>56</v>
      </c>
      <c r="J9" s="3" t="s">
        <v>36</v>
      </c>
      <c r="K9" s="3" t="s">
        <v>19</v>
      </c>
      <c r="L9" s="3"/>
      <c r="M9" s="3" t="s">
        <v>23</v>
      </c>
    </row>
    <row r="10" spans="1:13" ht="28.5" x14ac:dyDescent="0.45">
      <c r="A10" s="3" t="s">
        <v>57</v>
      </c>
      <c r="B10" s="3" t="s">
        <v>38</v>
      </c>
      <c r="C10" s="3" t="s">
        <v>58</v>
      </c>
      <c r="D10" s="3" t="s">
        <v>59</v>
      </c>
      <c r="E10" s="3" t="s">
        <v>54</v>
      </c>
      <c r="F10" s="3" t="s">
        <v>19</v>
      </c>
      <c r="G10" s="3" t="s">
        <v>20</v>
      </c>
      <c r="H10" s="3" t="s">
        <v>22</v>
      </c>
      <c r="I10" s="3" t="s">
        <v>60</v>
      </c>
      <c r="J10" s="3" t="s">
        <v>61</v>
      </c>
      <c r="K10" s="3" t="s">
        <v>19</v>
      </c>
      <c r="L10" s="3"/>
      <c r="M10" s="3" t="s">
        <v>23</v>
      </c>
    </row>
    <row r="11" spans="1:13" ht="71.25" x14ac:dyDescent="0.45">
      <c r="A11" s="3" t="s">
        <v>62</v>
      </c>
      <c r="B11" s="3" t="s">
        <v>63</v>
      </c>
      <c r="C11" s="3" t="s">
        <v>64</v>
      </c>
      <c r="D11" s="3" t="s">
        <v>65</v>
      </c>
      <c r="E11" s="3" t="s">
        <v>41</v>
      </c>
      <c r="F11" s="3" t="s">
        <v>66</v>
      </c>
      <c r="G11" s="3" t="s">
        <v>66</v>
      </c>
      <c r="H11" s="3" t="s">
        <v>67</v>
      </c>
      <c r="I11" s="3" t="s">
        <v>68</v>
      </c>
      <c r="J11" s="3" t="s">
        <v>69</v>
      </c>
      <c r="K11" s="3" t="s">
        <v>22</v>
      </c>
      <c r="L11" s="3" t="s">
        <v>70</v>
      </c>
      <c r="M11" s="3" t="s">
        <v>23</v>
      </c>
    </row>
  </sheetData>
  <mergeCells count="1"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sqref="A1:XFD1048576"/>
    </sheetView>
  </sheetViews>
  <sheetFormatPr defaultColWidth="8.6640625" defaultRowHeight="12.75" x14ac:dyDescent="0.35"/>
  <cols>
    <col min="1" max="1" width="30" style="1" customWidth="1"/>
    <col min="2" max="2" width="22" style="1" customWidth="1"/>
    <col min="3" max="5" width="13" style="1" customWidth="1"/>
    <col min="6" max="6" width="42" style="1" customWidth="1"/>
    <col min="7" max="7" width="20" style="1" customWidth="1"/>
    <col min="8" max="8" width="34" style="1" customWidth="1"/>
  </cols>
  <sheetData>
    <row r="1" spans="1:8" ht="21" x14ac:dyDescent="0.35">
      <c r="A1" s="51" t="s">
        <v>71</v>
      </c>
      <c r="B1" s="51"/>
      <c r="C1" s="51"/>
      <c r="D1" s="51"/>
      <c r="E1" s="51"/>
      <c r="F1" s="51"/>
      <c r="G1" s="51"/>
    </row>
    <row r="3" spans="1:8" ht="14.25" x14ac:dyDescent="0.4">
      <c r="A3" s="2" t="s">
        <v>72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4" t="s">
        <v>79</v>
      </c>
    </row>
    <row r="4" spans="1:8" ht="14.25" x14ac:dyDescent="0.45">
      <c r="A4" s="3" t="s">
        <v>14</v>
      </c>
      <c r="B4" s="3" t="s">
        <v>80</v>
      </c>
      <c r="C4" s="5">
        <v>1</v>
      </c>
      <c r="D4" s="5">
        <v>0</v>
      </c>
      <c r="E4" s="5">
        <v>0</v>
      </c>
      <c r="F4" s="3" t="s">
        <v>81</v>
      </c>
      <c r="G4" s="3" t="s">
        <v>82</v>
      </c>
      <c r="H4" s="6" t="str">
        <f t="shared" ref="H4:H19" si="0">A4&amp;"|"&amp;B4</f>
        <v>Inonics trading LLC|100%</v>
      </c>
    </row>
    <row r="5" spans="1:8" ht="14.25" x14ac:dyDescent="0.45">
      <c r="A5" s="3" t="s">
        <v>14</v>
      </c>
      <c r="B5" s="3" t="s">
        <v>83</v>
      </c>
      <c r="C5" s="5">
        <v>0.8</v>
      </c>
      <c r="D5" s="5">
        <v>0.2</v>
      </c>
      <c r="E5" s="5">
        <v>0</v>
      </c>
      <c r="F5" s="3" t="s">
        <v>84</v>
      </c>
      <c r="G5" s="3" t="s">
        <v>82</v>
      </c>
      <c r="H5" s="6" t="str">
        <f t="shared" si="0"/>
        <v>Inonics trading LLC|80/20</v>
      </c>
    </row>
    <row r="6" spans="1:8" ht="14.25" x14ac:dyDescent="0.45">
      <c r="A6" s="3" t="s">
        <v>14</v>
      </c>
      <c r="B6" s="3" t="s">
        <v>85</v>
      </c>
      <c r="C6" s="5">
        <v>0.7</v>
      </c>
      <c r="D6" s="5">
        <v>0.3</v>
      </c>
      <c r="E6" s="5">
        <v>0</v>
      </c>
      <c r="F6" s="3" t="s">
        <v>84</v>
      </c>
      <c r="G6" s="3" t="s">
        <v>82</v>
      </c>
      <c r="H6" s="6" t="str">
        <f t="shared" si="0"/>
        <v>Inonics trading LLC|70/30</v>
      </c>
    </row>
    <row r="7" spans="1:8" ht="14.25" x14ac:dyDescent="0.45">
      <c r="A7" s="3" t="s">
        <v>14</v>
      </c>
      <c r="B7" s="3" t="s">
        <v>86</v>
      </c>
      <c r="C7" s="5">
        <v>0.5</v>
      </c>
      <c r="D7" s="5">
        <v>0.5</v>
      </c>
      <c r="E7" s="5">
        <v>0</v>
      </c>
      <c r="F7" s="3" t="s">
        <v>84</v>
      </c>
      <c r="G7" s="3" t="s">
        <v>82</v>
      </c>
      <c r="H7" s="6" t="str">
        <f t="shared" si="0"/>
        <v>Inonics trading LLC|50/50</v>
      </c>
    </row>
    <row r="8" spans="1:8" ht="14.25" x14ac:dyDescent="0.45">
      <c r="A8" s="3" t="s">
        <v>24</v>
      </c>
      <c r="B8" s="3" t="s">
        <v>87</v>
      </c>
      <c r="C8" s="5">
        <v>0.2</v>
      </c>
      <c r="D8" s="5">
        <v>0.8</v>
      </c>
      <c r="E8" s="5">
        <v>0</v>
      </c>
      <c r="F8" s="3" t="s">
        <v>88</v>
      </c>
      <c r="G8" s="3" t="s">
        <v>82</v>
      </c>
      <c r="H8" s="6" t="str">
        <f t="shared" si="0"/>
        <v>HuaXun Group Limited|20/80</v>
      </c>
    </row>
    <row r="9" spans="1:8" ht="14.25" x14ac:dyDescent="0.45">
      <c r="A9" s="3" t="s">
        <v>29</v>
      </c>
      <c r="B9" s="3" t="s">
        <v>86</v>
      </c>
      <c r="C9" s="5">
        <v>0.5</v>
      </c>
      <c r="D9" s="5">
        <v>0.5</v>
      </c>
      <c r="E9" s="5">
        <v>0</v>
      </c>
      <c r="F9" s="3" t="s">
        <v>89</v>
      </c>
      <c r="G9" s="3" t="s">
        <v>82</v>
      </c>
      <c r="H9" s="6" t="str">
        <f t="shared" si="0"/>
        <v>ANGEL TRADE CO., LIMITED|50/50</v>
      </c>
    </row>
    <row r="10" spans="1:8" ht="14.25" x14ac:dyDescent="0.45">
      <c r="A10" s="3" t="s">
        <v>37</v>
      </c>
      <c r="B10" s="3" t="s">
        <v>85</v>
      </c>
      <c r="C10" s="5">
        <v>0.7</v>
      </c>
      <c r="D10" s="5">
        <v>0.3</v>
      </c>
      <c r="E10" s="5">
        <v>0</v>
      </c>
      <c r="F10" s="3" t="s">
        <v>90</v>
      </c>
      <c r="G10" s="3" t="s">
        <v>82</v>
      </c>
      <c r="H10" s="6" t="str">
        <f t="shared" si="0"/>
        <v>Tech Planet FZCO (ОАЭ)|70/30</v>
      </c>
    </row>
    <row r="11" spans="1:8" ht="14.25" x14ac:dyDescent="0.45">
      <c r="A11" s="3" t="s">
        <v>37</v>
      </c>
      <c r="B11" s="3" t="s">
        <v>83</v>
      </c>
      <c r="C11" s="5">
        <v>0.8</v>
      </c>
      <c r="D11" s="5">
        <v>0.2</v>
      </c>
      <c r="E11" s="5">
        <v>0</v>
      </c>
      <c r="F11" s="3" t="s">
        <v>90</v>
      </c>
      <c r="G11" s="3" t="s">
        <v>82</v>
      </c>
      <c r="H11" s="6" t="str">
        <f t="shared" si="0"/>
        <v>Tech Planet FZCO (ОАЭ)|80/20</v>
      </c>
    </row>
    <row r="12" spans="1:8" ht="14.25" x14ac:dyDescent="0.45">
      <c r="A12" s="3" t="s">
        <v>45</v>
      </c>
      <c r="B12" s="3" t="s">
        <v>80</v>
      </c>
      <c r="C12" s="5">
        <v>1</v>
      </c>
      <c r="D12" s="5">
        <v>0</v>
      </c>
      <c r="E12" s="5">
        <v>0</v>
      </c>
      <c r="F12" s="3" t="s">
        <v>39</v>
      </c>
      <c r="G12" s="3" t="s">
        <v>82</v>
      </c>
      <c r="H12" s="6" t="str">
        <f t="shared" si="0"/>
        <v>Al Shiva General Trading FZE (ОАЭ)|100%</v>
      </c>
    </row>
    <row r="13" spans="1:8" ht="14.25" x14ac:dyDescent="0.45">
      <c r="A13" s="3" t="s">
        <v>45</v>
      </c>
      <c r="B13" s="3" t="s">
        <v>85</v>
      </c>
      <c r="C13" s="5">
        <v>0.7</v>
      </c>
      <c r="D13" s="5">
        <v>0.3</v>
      </c>
      <c r="E13" s="5">
        <v>0</v>
      </c>
      <c r="F13" s="3" t="s">
        <v>90</v>
      </c>
      <c r="G13" s="3" t="s">
        <v>82</v>
      </c>
      <c r="H13" s="6" t="str">
        <f t="shared" si="0"/>
        <v>Al Shiva General Trading FZE (ОАЭ)|70/30</v>
      </c>
    </row>
    <row r="14" spans="1:8" ht="14.25" x14ac:dyDescent="0.45">
      <c r="A14" s="3" t="s">
        <v>45</v>
      </c>
      <c r="B14" s="3" t="s">
        <v>83</v>
      </c>
      <c r="C14" s="5">
        <v>0.8</v>
      </c>
      <c r="D14" s="5">
        <v>0.2</v>
      </c>
      <c r="E14" s="5">
        <v>0</v>
      </c>
      <c r="F14" s="3" t="s">
        <v>90</v>
      </c>
      <c r="G14" s="3" t="s">
        <v>82</v>
      </c>
      <c r="H14" s="6" t="str">
        <f t="shared" si="0"/>
        <v>Al Shiva General Trading FZE (ОАЭ)|80/20</v>
      </c>
    </row>
    <row r="15" spans="1:8" ht="14.25" x14ac:dyDescent="0.45">
      <c r="A15" s="3" t="s">
        <v>45</v>
      </c>
      <c r="B15" s="3" t="s">
        <v>91</v>
      </c>
      <c r="C15" s="5">
        <v>1</v>
      </c>
      <c r="D15" s="5">
        <v>0</v>
      </c>
      <c r="E15" s="5">
        <v>0</v>
      </c>
      <c r="F15" s="3" t="s">
        <v>92</v>
      </c>
      <c r="G15" s="3" t="s">
        <v>82</v>
      </c>
      <c r="H15" s="6" t="str">
        <f t="shared" si="0"/>
        <v>Al Shiva General Trading FZE (ОАЭ)|100% после инспекции</v>
      </c>
    </row>
    <row r="16" spans="1:8" ht="14.25" x14ac:dyDescent="0.45">
      <c r="A16" s="3" t="s">
        <v>51</v>
      </c>
      <c r="B16" s="3" t="s">
        <v>87</v>
      </c>
      <c r="C16" s="5">
        <v>0.2</v>
      </c>
      <c r="D16" s="5">
        <v>0.8</v>
      </c>
      <c r="E16" s="5">
        <v>0</v>
      </c>
      <c r="F16" s="3" t="s">
        <v>93</v>
      </c>
      <c r="G16" s="3" t="s">
        <v>82</v>
      </c>
      <c r="H16" s="6" t="str">
        <f t="shared" si="0"/>
        <v>Noviva DWC LLC (ОАЭ)|20/80</v>
      </c>
    </row>
    <row r="17" spans="1:8" ht="14.25" x14ac:dyDescent="0.45">
      <c r="A17" s="3" t="s">
        <v>57</v>
      </c>
      <c r="B17" s="3" t="s">
        <v>91</v>
      </c>
      <c r="C17" s="5">
        <v>1</v>
      </c>
      <c r="D17" s="5">
        <v>0</v>
      </c>
      <c r="E17" s="5">
        <v>0</v>
      </c>
      <c r="F17" s="3" t="s">
        <v>92</v>
      </c>
      <c r="G17" s="3" t="s">
        <v>82</v>
      </c>
      <c r="H17" s="6" t="str">
        <f t="shared" si="0"/>
        <v>KVN Group FZCO (ОАЭ) - Бигап|100% после инспекции</v>
      </c>
    </row>
    <row r="18" spans="1:8" ht="14.25" x14ac:dyDescent="0.45">
      <c r="A18" s="3" t="s">
        <v>57</v>
      </c>
      <c r="B18" s="3" t="s">
        <v>87</v>
      </c>
      <c r="C18" s="5">
        <v>0.2</v>
      </c>
      <c r="D18" s="5">
        <v>0.8</v>
      </c>
      <c r="E18" s="5">
        <v>0</v>
      </c>
      <c r="F18" s="3" t="s">
        <v>84</v>
      </c>
      <c r="G18" s="3" t="s">
        <v>82</v>
      </c>
      <c r="H18" s="6" t="str">
        <f t="shared" si="0"/>
        <v>KVN Group FZCO (ОАЭ) - Бигап|20/80</v>
      </c>
    </row>
    <row r="19" spans="1:8" ht="14.25" x14ac:dyDescent="0.45">
      <c r="A19" s="3" t="s">
        <v>62</v>
      </c>
      <c r="B19" s="3" t="s">
        <v>94</v>
      </c>
      <c r="C19" s="5">
        <v>0</v>
      </c>
      <c r="D19" s="5">
        <v>0</v>
      </c>
      <c r="E19" s="5">
        <v>0</v>
      </c>
      <c r="F19" s="3" t="s">
        <v>95</v>
      </c>
      <c r="G19" s="3" t="s">
        <v>96</v>
      </c>
      <c r="H19" s="6" t="str">
        <f t="shared" si="0"/>
        <v>Metal Market L.L.C-FZ (ОАЭ)|РУЧНАЯ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workbookViewId="0">
      <selection sqref="A1:XFD1048576"/>
    </sheetView>
  </sheetViews>
  <sheetFormatPr defaultColWidth="8.6640625" defaultRowHeight="12.75" x14ac:dyDescent="0.35"/>
  <cols>
    <col min="1" max="1" width="32" style="1" customWidth="1"/>
    <col min="2" max="2" width="18" style="1" customWidth="1"/>
    <col min="3" max="3" width="28" style="1" customWidth="1"/>
    <col min="4" max="4" width="20" style="1" customWidth="1"/>
    <col min="5" max="5" width="15" style="1" customWidth="1"/>
    <col min="6" max="6" width="45" style="1" customWidth="1"/>
  </cols>
  <sheetData>
    <row r="1" spans="1:6" ht="21" x14ac:dyDescent="0.35">
      <c r="A1" s="51" t="s">
        <v>97</v>
      </c>
      <c r="B1" s="51"/>
      <c r="C1" s="51"/>
      <c r="D1" s="51"/>
      <c r="E1" s="51"/>
      <c r="F1" s="51"/>
    </row>
    <row r="3" spans="1:6" ht="14.25" x14ac:dyDescent="0.35">
      <c r="A3" s="2" t="s">
        <v>98</v>
      </c>
      <c r="B3" s="2" t="s">
        <v>99</v>
      </c>
      <c r="C3" s="2" t="s">
        <v>100</v>
      </c>
      <c r="D3" s="2" t="s">
        <v>12</v>
      </c>
    </row>
    <row r="4" spans="1:6" ht="14.25" x14ac:dyDescent="0.45">
      <c r="A4" s="7" t="s">
        <v>101</v>
      </c>
      <c r="B4" s="8">
        <v>0.13</v>
      </c>
      <c r="C4" s="1" t="s">
        <v>102</v>
      </c>
      <c r="D4" s="1" t="s">
        <v>103</v>
      </c>
    </row>
    <row r="5" spans="1:6" ht="14.25" x14ac:dyDescent="0.45">
      <c r="A5" s="7" t="s">
        <v>104</v>
      </c>
      <c r="B5" s="9">
        <v>1E-3</v>
      </c>
      <c r="C5" s="1" t="s">
        <v>105</v>
      </c>
      <c r="D5" s="1" t="s">
        <v>106</v>
      </c>
    </row>
    <row r="6" spans="1:6" ht="14.25" x14ac:dyDescent="0.45">
      <c r="A6" s="7" t="s">
        <v>107</v>
      </c>
      <c r="B6" s="10">
        <v>100</v>
      </c>
      <c r="C6" s="1" t="s">
        <v>108</v>
      </c>
      <c r="D6" s="1" t="s">
        <v>109</v>
      </c>
    </row>
    <row r="7" spans="1:6" ht="14.25" x14ac:dyDescent="0.45">
      <c r="A7" s="7" t="s">
        <v>110</v>
      </c>
      <c r="B7" s="10" t="s">
        <v>111</v>
      </c>
      <c r="C7" s="1" t="s">
        <v>112</v>
      </c>
      <c r="D7" s="1" t="s">
        <v>113</v>
      </c>
    </row>
    <row r="8" spans="1:6" ht="14.25" x14ac:dyDescent="0.45">
      <c r="A8" s="7" t="s">
        <v>325</v>
      </c>
      <c r="B8" s="45">
        <v>46254</v>
      </c>
      <c r="C8" s="1" t="s">
        <v>114</v>
      </c>
    </row>
    <row r="9" spans="1:6" x14ac:dyDescent="0.35">
      <c r="A9" s="12" t="s">
        <v>115</v>
      </c>
      <c r="B9" s="13">
        <v>30</v>
      </c>
      <c r="C9" s="14" t="s">
        <v>116</v>
      </c>
      <c r="D9" s="14" t="s">
        <v>117</v>
      </c>
    </row>
    <row r="11" spans="1:6" ht="14.25" x14ac:dyDescent="0.35">
      <c r="A11" s="2" t="s">
        <v>118</v>
      </c>
      <c r="B11" s="2" t="s">
        <v>119</v>
      </c>
      <c r="C11" s="2" t="s">
        <v>13</v>
      </c>
      <c r="D11" s="2" t="s">
        <v>120</v>
      </c>
      <c r="E11" s="2" t="s">
        <v>78</v>
      </c>
      <c r="F11" s="2" t="s">
        <v>12</v>
      </c>
    </row>
    <row r="12" spans="1:6" ht="14.25" x14ac:dyDescent="0.45">
      <c r="A12" s="1" t="s">
        <v>121</v>
      </c>
      <c r="B12" s="10">
        <v>3.25</v>
      </c>
      <c r="C12" s="10"/>
      <c r="D12" s="15"/>
      <c r="E12" s="16" t="s">
        <v>122</v>
      </c>
    </row>
    <row r="13" spans="1:6" ht="14.25" x14ac:dyDescent="0.45">
      <c r="A13" s="1" t="s">
        <v>123</v>
      </c>
      <c r="B13" s="10">
        <v>3.3500000000000002E-2</v>
      </c>
      <c r="C13" s="10"/>
      <c r="D13" s="15"/>
      <c r="E13" s="16" t="s">
        <v>122</v>
      </c>
    </row>
    <row r="14" spans="1:6" ht="14.25" x14ac:dyDescent="0.45">
      <c r="A14" s="1" t="s">
        <v>27</v>
      </c>
      <c r="B14" s="10">
        <v>0.36499999999999999</v>
      </c>
      <c r="C14" s="10"/>
      <c r="D14" s="15"/>
      <c r="E14" s="16" t="s">
        <v>122</v>
      </c>
    </row>
    <row r="15" spans="1:6" ht="14.25" x14ac:dyDescent="0.45">
      <c r="A15" s="1" t="s">
        <v>124</v>
      </c>
      <c r="B15" s="10">
        <v>0.88500000000000001</v>
      </c>
      <c r="C15" s="10"/>
      <c r="D15" s="15"/>
      <c r="E15" s="16" t="s">
        <v>122</v>
      </c>
    </row>
    <row r="16" spans="1:6" ht="14.25" x14ac:dyDescent="0.45">
      <c r="A16" s="1" t="s">
        <v>125</v>
      </c>
      <c r="B16" s="10"/>
      <c r="C16" s="10"/>
      <c r="D16" s="15"/>
      <c r="E16" s="16" t="s">
        <v>126</v>
      </c>
    </row>
  </sheetData>
  <mergeCells count="1">
    <mergeCell ref="A1:F1"/>
  </mergeCells>
  <dataValidations count="1">
    <dataValidation type="list" sqref="B7">
      <formula1>"Да,Нет"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3"/>
  <sheetViews>
    <sheetView workbookViewId="0">
      <selection sqref="A1:XFD1048576"/>
    </sheetView>
  </sheetViews>
  <sheetFormatPr defaultColWidth="8.6640625" defaultRowHeight="12.75" x14ac:dyDescent="0.35"/>
  <cols>
    <col min="1" max="2" width="16" style="1" customWidth="1"/>
    <col min="3" max="3" width="30" style="1" customWidth="1"/>
    <col min="4" max="4" width="16" style="1" customWidth="1"/>
    <col min="5" max="5" width="17" style="1" customWidth="1"/>
    <col min="6" max="6" width="18" style="1" customWidth="1"/>
    <col min="7" max="7" width="20" style="1" customWidth="1"/>
    <col min="8" max="8" width="18" style="1" customWidth="1"/>
    <col min="9" max="9" width="40" style="1" customWidth="1"/>
    <col min="10" max="10" width="16" style="1" customWidth="1"/>
    <col min="11" max="11" width="14" style="1" customWidth="1"/>
    <col min="12" max="12" width="16" style="1" customWidth="1"/>
    <col min="13" max="13" width="30" style="1" customWidth="1"/>
  </cols>
  <sheetData>
    <row r="1" spans="1:13" ht="21" x14ac:dyDescent="0.35">
      <c r="A1" s="51" t="s">
        <v>127</v>
      </c>
      <c r="B1" s="51"/>
      <c r="C1" s="51"/>
      <c r="D1" s="51"/>
      <c r="E1" s="51"/>
      <c r="F1" s="51"/>
      <c r="G1" s="51"/>
      <c r="H1" s="51"/>
      <c r="I1" s="51"/>
    </row>
    <row r="3" spans="1:13" ht="39.4" x14ac:dyDescent="0.35">
      <c r="A3" s="2" t="s">
        <v>128</v>
      </c>
      <c r="B3" s="2" t="s">
        <v>129</v>
      </c>
      <c r="C3" s="2" t="s">
        <v>326</v>
      </c>
      <c r="D3" s="2" t="s">
        <v>212</v>
      </c>
      <c r="E3" s="2" t="s">
        <v>213</v>
      </c>
      <c r="F3" s="2" t="s">
        <v>130</v>
      </c>
      <c r="G3" s="2" t="s">
        <v>131</v>
      </c>
      <c r="H3" s="2" t="s">
        <v>132</v>
      </c>
      <c r="I3" s="2" t="s">
        <v>12</v>
      </c>
      <c r="J3" s="17" t="s">
        <v>133</v>
      </c>
      <c r="K3" s="17" t="s">
        <v>134</v>
      </c>
      <c r="L3" s="17" t="s">
        <v>135</v>
      </c>
      <c r="M3" s="17" t="s">
        <v>136</v>
      </c>
    </row>
    <row r="4" spans="1:13" x14ac:dyDescent="0.35">
      <c r="A4" s="18"/>
      <c r="B4" s="19"/>
      <c r="C4" s="18"/>
      <c r="D4" s="20">
        <v>320</v>
      </c>
      <c r="E4" s="19"/>
      <c r="F4" s="21">
        <f t="shared" ref="F4:F13" si="0">ROUND(L4/15,1)</f>
        <v>0</v>
      </c>
      <c r="G4" s="22"/>
      <c r="H4" s="18"/>
      <c r="I4" s="18"/>
      <c r="J4" s="23"/>
      <c r="K4" s="23"/>
      <c r="L4" s="23"/>
      <c r="M4" s="13"/>
    </row>
    <row r="5" spans="1:13" x14ac:dyDescent="0.35">
      <c r="A5" s="18"/>
      <c r="B5" s="19"/>
      <c r="C5" s="18"/>
      <c r="D5" s="20">
        <f>MAX(0,ROUND(F5*'03_Настройки'!$B$9-J5-K5,0))</f>
        <v>0</v>
      </c>
      <c r="E5" s="19"/>
      <c r="F5" s="21">
        <f t="shared" si="0"/>
        <v>0</v>
      </c>
      <c r="G5" s="22"/>
      <c r="H5" s="18"/>
      <c r="I5" s="18"/>
      <c r="J5" s="23"/>
      <c r="K5" s="23"/>
      <c r="L5" s="23"/>
      <c r="M5" s="13"/>
    </row>
    <row r="6" spans="1:13" x14ac:dyDescent="0.35">
      <c r="A6" s="18"/>
      <c r="B6" s="19"/>
      <c r="C6" s="18"/>
      <c r="D6" s="20">
        <f>MAX(0,ROUND(F6*'03_Настройки'!$B$9-J6-K6,0))</f>
        <v>0</v>
      </c>
      <c r="E6" s="19"/>
      <c r="F6" s="21">
        <f t="shared" si="0"/>
        <v>0</v>
      </c>
      <c r="G6" s="22"/>
      <c r="H6" s="18"/>
      <c r="I6" s="18"/>
      <c r="J6" s="23"/>
      <c r="K6" s="23"/>
      <c r="L6" s="23"/>
      <c r="M6" s="13"/>
    </row>
    <row r="7" spans="1:13" x14ac:dyDescent="0.35">
      <c r="A7" s="18"/>
      <c r="B7" s="19"/>
      <c r="C7" s="18"/>
      <c r="D7" s="20">
        <f>MAX(0,ROUND(F7*'03_Настройки'!$B$9-J7-K7,0))</f>
        <v>0</v>
      </c>
      <c r="E7" s="19"/>
      <c r="F7" s="21">
        <f t="shared" si="0"/>
        <v>0</v>
      </c>
      <c r="G7" s="22"/>
      <c r="H7" s="18"/>
      <c r="I7" s="18"/>
      <c r="J7" s="23"/>
      <c r="K7" s="23"/>
      <c r="L7" s="23"/>
      <c r="M7" s="13"/>
    </row>
    <row r="8" spans="1:13" x14ac:dyDescent="0.35">
      <c r="A8" s="18"/>
      <c r="B8" s="19"/>
      <c r="C8" s="18"/>
      <c r="D8" s="20">
        <f>MAX(0,ROUND(F8*'03_Настройки'!$B$9-J8-K8,0))</f>
        <v>0</v>
      </c>
      <c r="E8" s="19"/>
      <c r="F8" s="21">
        <f t="shared" si="0"/>
        <v>0</v>
      </c>
      <c r="G8" s="22"/>
      <c r="H8" s="18"/>
      <c r="I8" s="18"/>
      <c r="J8" s="23"/>
      <c r="K8" s="23"/>
      <c r="L8" s="23"/>
      <c r="M8" s="13"/>
    </row>
    <row r="9" spans="1:13" x14ac:dyDescent="0.35">
      <c r="A9" s="18"/>
      <c r="B9" s="19"/>
      <c r="C9" s="18"/>
      <c r="D9" s="20">
        <f>MAX(0,ROUND(F9*'03_Настройки'!$B$9-J9-K9,0))</f>
        <v>0</v>
      </c>
      <c r="E9" s="19"/>
      <c r="F9" s="21">
        <f t="shared" si="0"/>
        <v>0</v>
      </c>
      <c r="G9" s="22"/>
      <c r="H9" s="18"/>
      <c r="I9" s="18"/>
      <c r="J9" s="23"/>
      <c r="K9" s="23"/>
      <c r="L9" s="23"/>
      <c r="M9" s="13"/>
    </row>
    <row r="10" spans="1:13" x14ac:dyDescent="0.35">
      <c r="A10" s="18"/>
      <c r="B10" s="19"/>
      <c r="C10" s="18"/>
      <c r="D10" s="20">
        <f>MAX(0,ROUND(F10*'03_Настройки'!$B$9-J10-K10,0))</f>
        <v>0</v>
      </c>
      <c r="E10" s="19"/>
      <c r="F10" s="21">
        <f t="shared" si="0"/>
        <v>0</v>
      </c>
      <c r="G10" s="22"/>
      <c r="H10" s="18"/>
      <c r="I10" s="18"/>
      <c r="J10" s="23"/>
      <c r="K10" s="23"/>
      <c r="L10" s="23"/>
      <c r="M10" s="13"/>
    </row>
    <row r="11" spans="1:13" x14ac:dyDescent="0.35">
      <c r="A11" s="18"/>
      <c r="B11" s="19"/>
      <c r="C11" s="18"/>
      <c r="D11" s="20">
        <f>MAX(0,ROUND(F11*'03_Настройки'!$B$9-J11-K11,0))</f>
        <v>0</v>
      </c>
      <c r="E11" s="19"/>
      <c r="F11" s="21">
        <f t="shared" si="0"/>
        <v>0</v>
      </c>
      <c r="G11" s="22"/>
      <c r="H11" s="18"/>
      <c r="I11" s="18"/>
      <c r="J11" s="23"/>
      <c r="K11" s="23"/>
      <c r="L11" s="23"/>
      <c r="M11" s="13"/>
    </row>
    <row r="12" spans="1:13" x14ac:dyDescent="0.35">
      <c r="A12" s="18"/>
      <c r="B12" s="19"/>
      <c r="C12" s="18"/>
      <c r="D12" s="20">
        <f>MAX(0,ROUND(F12*'03_Настройки'!$B$9-J12-K12,0))</f>
        <v>0</v>
      </c>
      <c r="E12" s="19"/>
      <c r="F12" s="21">
        <f t="shared" si="0"/>
        <v>0</v>
      </c>
      <c r="G12" s="22"/>
      <c r="H12" s="18"/>
      <c r="I12" s="18"/>
      <c r="J12" s="23"/>
      <c r="K12" s="23"/>
      <c r="L12" s="23"/>
      <c r="M12" s="13"/>
    </row>
    <row r="13" spans="1:13" x14ac:dyDescent="0.35">
      <c r="A13" s="18"/>
      <c r="B13" s="19"/>
      <c r="C13" s="18"/>
      <c r="D13" s="20">
        <f>MAX(0,ROUND(F13*'03_Настройки'!$B$9-J13-K13,0))</f>
        <v>0</v>
      </c>
      <c r="E13" s="19"/>
      <c r="F13" s="21">
        <f t="shared" si="0"/>
        <v>0</v>
      </c>
      <c r="G13" s="22"/>
      <c r="H13" s="18"/>
      <c r="I13" s="18"/>
      <c r="J13" s="23"/>
      <c r="K13" s="23"/>
      <c r="L13" s="23"/>
      <c r="M13" s="13"/>
    </row>
    <row r="14" spans="1:13" ht="14.25" x14ac:dyDescent="0.45">
      <c r="A14" s="10"/>
      <c r="B14" s="11"/>
      <c r="C14" s="10"/>
      <c r="D14" s="10"/>
      <c r="E14" s="11"/>
      <c r="F14" s="24"/>
      <c r="G14" s="24"/>
      <c r="H14" s="10"/>
      <c r="I14" s="10"/>
    </row>
    <row r="15" spans="1:13" ht="14.25" x14ac:dyDescent="0.45">
      <c r="A15" s="10"/>
      <c r="B15" s="11"/>
      <c r="C15" s="10"/>
      <c r="D15" s="10"/>
      <c r="E15" s="11"/>
      <c r="F15" s="24"/>
      <c r="G15" s="24"/>
      <c r="H15" s="10"/>
      <c r="I15" s="10"/>
    </row>
    <row r="16" spans="1:13" ht="14.25" x14ac:dyDescent="0.45">
      <c r="A16" s="10"/>
      <c r="B16" s="11"/>
      <c r="C16" s="10"/>
      <c r="D16" s="10"/>
      <c r="E16" s="11"/>
      <c r="F16" s="24"/>
      <c r="G16" s="24"/>
      <c r="H16" s="10"/>
      <c r="I16" s="10"/>
    </row>
    <row r="17" spans="1:9" ht="14.25" x14ac:dyDescent="0.45">
      <c r="A17" s="10"/>
      <c r="B17" s="11"/>
      <c r="C17" s="10"/>
      <c r="D17" s="10"/>
      <c r="E17" s="11"/>
      <c r="F17" s="24"/>
      <c r="G17" s="24"/>
      <c r="H17" s="10"/>
      <c r="I17" s="10"/>
    </row>
    <row r="18" spans="1:9" ht="14.25" x14ac:dyDescent="0.45">
      <c r="A18" s="10"/>
      <c r="B18" s="11"/>
      <c r="C18" s="10"/>
      <c r="D18" s="10"/>
      <c r="E18" s="11"/>
      <c r="F18" s="24"/>
      <c r="G18" s="24"/>
      <c r="H18" s="10"/>
      <c r="I18" s="10"/>
    </row>
    <row r="19" spans="1:9" ht="14.25" x14ac:dyDescent="0.45">
      <c r="A19" s="10"/>
      <c r="B19" s="11"/>
      <c r="C19" s="10"/>
      <c r="D19" s="10"/>
      <c r="E19" s="11"/>
      <c r="F19" s="24"/>
      <c r="G19" s="24"/>
      <c r="H19" s="10"/>
      <c r="I19" s="10"/>
    </row>
    <row r="20" spans="1:9" ht="14.25" x14ac:dyDescent="0.45">
      <c r="A20" s="10"/>
      <c r="B20" s="11"/>
      <c r="C20" s="10"/>
      <c r="D20" s="10"/>
      <c r="E20" s="11"/>
      <c r="F20" s="24"/>
      <c r="G20" s="24"/>
      <c r="H20" s="10"/>
      <c r="I20" s="10"/>
    </row>
    <row r="21" spans="1:9" ht="14.25" x14ac:dyDescent="0.45">
      <c r="A21" s="10"/>
      <c r="B21" s="11"/>
      <c r="C21" s="10"/>
      <c r="D21" s="10"/>
      <c r="E21" s="11"/>
      <c r="F21" s="24"/>
      <c r="G21" s="24"/>
      <c r="H21" s="10"/>
      <c r="I21" s="10"/>
    </row>
    <row r="22" spans="1:9" ht="14.25" x14ac:dyDescent="0.45">
      <c r="A22" s="10"/>
      <c r="B22" s="11"/>
      <c r="C22" s="10"/>
      <c r="D22" s="10"/>
      <c r="E22" s="11"/>
      <c r="F22" s="24"/>
      <c r="G22" s="24"/>
      <c r="H22" s="10"/>
      <c r="I22" s="10"/>
    </row>
    <row r="23" spans="1:9" ht="14.25" x14ac:dyDescent="0.45">
      <c r="A23" s="10"/>
      <c r="B23" s="11"/>
      <c r="C23" s="10"/>
      <c r="D23" s="10"/>
      <c r="E23" s="11"/>
      <c r="F23" s="24"/>
      <c r="G23" s="24"/>
      <c r="H23" s="10"/>
      <c r="I23" s="10"/>
    </row>
    <row r="24" spans="1:9" ht="14.25" x14ac:dyDescent="0.45">
      <c r="A24" s="10"/>
      <c r="B24" s="11"/>
      <c r="C24" s="10"/>
      <c r="D24" s="10"/>
      <c r="E24" s="11"/>
      <c r="F24" s="24"/>
      <c r="G24" s="24"/>
      <c r="H24" s="10"/>
      <c r="I24" s="10"/>
    </row>
    <row r="25" spans="1:9" ht="14.25" x14ac:dyDescent="0.45">
      <c r="A25" s="10"/>
      <c r="B25" s="11"/>
      <c r="C25" s="10"/>
      <c r="D25" s="10"/>
      <c r="E25" s="11"/>
      <c r="F25" s="24"/>
      <c r="G25" s="24"/>
      <c r="H25" s="10"/>
      <c r="I25" s="10"/>
    </row>
    <row r="26" spans="1:9" ht="14.25" x14ac:dyDescent="0.45">
      <c r="A26" s="10"/>
      <c r="B26" s="11"/>
      <c r="C26" s="10"/>
      <c r="D26" s="10"/>
      <c r="E26" s="11"/>
      <c r="F26" s="24"/>
      <c r="G26" s="24"/>
      <c r="H26" s="10"/>
      <c r="I26" s="10"/>
    </row>
    <row r="27" spans="1:9" ht="14.25" x14ac:dyDescent="0.45">
      <c r="A27" s="10"/>
      <c r="B27" s="11"/>
      <c r="C27" s="10"/>
      <c r="D27" s="10"/>
      <c r="E27" s="11"/>
      <c r="F27" s="24"/>
      <c r="G27" s="24"/>
      <c r="H27" s="10"/>
      <c r="I27" s="10"/>
    </row>
    <row r="28" spans="1:9" ht="14.25" x14ac:dyDescent="0.45">
      <c r="A28" s="10"/>
      <c r="B28" s="11"/>
      <c r="C28" s="10"/>
      <c r="D28" s="10"/>
      <c r="E28" s="11"/>
      <c r="F28" s="24"/>
      <c r="G28" s="24"/>
      <c r="H28" s="10"/>
      <c r="I28" s="10"/>
    </row>
    <row r="29" spans="1:9" ht="14.25" x14ac:dyDescent="0.45">
      <c r="A29" s="10"/>
      <c r="B29" s="11"/>
      <c r="C29" s="10"/>
      <c r="D29" s="10"/>
      <c r="E29" s="11"/>
      <c r="F29" s="24"/>
      <c r="G29" s="24"/>
      <c r="H29" s="10"/>
      <c r="I29" s="10"/>
    </row>
    <row r="30" spans="1:9" ht="14.25" x14ac:dyDescent="0.45">
      <c r="A30" s="10"/>
      <c r="B30" s="11"/>
      <c r="C30" s="10"/>
      <c r="D30" s="10"/>
      <c r="E30" s="11"/>
      <c r="F30" s="24"/>
      <c r="G30" s="24"/>
      <c r="H30" s="10"/>
      <c r="I30" s="10"/>
    </row>
    <row r="31" spans="1:9" ht="14.25" x14ac:dyDescent="0.45">
      <c r="A31" s="10"/>
      <c r="B31" s="11"/>
      <c r="C31" s="10"/>
      <c r="D31" s="10"/>
      <c r="E31" s="11"/>
      <c r="F31" s="24"/>
      <c r="G31" s="24"/>
      <c r="H31" s="10"/>
      <c r="I31" s="10"/>
    </row>
    <row r="32" spans="1:9" ht="14.25" x14ac:dyDescent="0.45">
      <c r="A32" s="10"/>
      <c r="B32" s="11"/>
      <c r="C32" s="10"/>
      <c r="D32" s="10"/>
      <c r="E32" s="11"/>
      <c r="F32" s="24"/>
      <c r="G32" s="24"/>
      <c r="H32" s="10"/>
      <c r="I32" s="10"/>
    </row>
    <row r="33" spans="1:9" ht="14.25" x14ac:dyDescent="0.45">
      <c r="A33" s="10"/>
      <c r="B33" s="11"/>
      <c r="C33" s="10"/>
      <c r="D33" s="10"/>
      <c r="E33" s="11"/>
      <c r="F33" s="24"/>
      <c r="G33" s="24"/>
      <c r="H33" s="10"/>
      <c r="I33" s="10"/>
    </row>
    <row r="34" spans="1:9" ht="14.25" x14ac:dyDescent="0.45">
      <c r="A34" s="10"/>
      <c r="B34" s="11"/>
      <c r="C34" s="10"/>
      <c r="D34" s="10"/>
      <c r="E34" s="11"/>
      <c r="F34" s="24"/>
      <c r="G34" s="24"/>
      <c r="H34" s="10"/>
      <c r="I34" s="10"/>
    </row>
    <row r="35" spans="1:9" ht="14.25" x14ac:dyDescent="0.45">
      <c r="A35" s="10"/>
      <c r="B35" s="11"/>
      <c r="C35" s="10"/>
      <c r="D35" s="10"/>
      <c r="E35" s="11"/>
      <c r="F35" s="24"/>
      <c r="G35" s="24"/>
      <c r="H35" s="10"/>
      <c r="I35" s="10"/>
    </row>
    <row r="36" spans="1:9" ht="14.25" x14ac:dyDescent="0.45">
      <c r="A36" s="10"/>
      <c r="B36" s="11"/>
      <c r="C36" s="10"/>
      <c r="D36" s="10"/>
      <c r="E36" s="11"/>
      <c r="F36" s="24"/>
      <c r="G36" s="24"/>
      <c r="H36" s="10"/>
      <c r="I36" s="10"/>
    </row>
    <row r="37" spans="1:9" ht="14.25" x14ac:dyDescent="0.45">
      <c r="A37" s="10"/>
      <c r="B37" s="11"/>
      <c r="C37" s="10"/>
      <c r="D37" s="10"/>
      <c r="E37" s="11"/>
      <c r="F37" s="24"/>
      <c r="G37" s="24"/>
      <c r="H37" s="10"/>
      <c r="I37" s="10"/>
    </row>
    <row r="38" spans="1:9" ht="14.25" x14ac:dyDescent="0.45">
      <c r="A38" s="10"/>
      <c r="B38" s="11"/>
      <c r="C38" s="10"/>
      <c r="D38" s="10"/>
      <c r="E38" s="11"/>
      <c r="F38" s="24"/>
      <c r="G38" s="24"/>
      <c r="H38" s="10"/>
      <c r="I38" s="10"/>
    </row>
    <row r="39" spans="1:9" ht="14.25" x14ac:dyDescent="0.45">
      <c r="A39" s="10"/>
      <c r="B39" s="11"/>
      <c r="C39" s="10"/>
      <c r="D39" s="10"/>
      <c r="E39" s="11"/>
      <c r="F39" s="24"/>
      <c r="G39" s="24"/>
      <c r="H39" s="10"/>
      <c r="I39" s="10"/>
    </row>
    <row r="40" spans="1:9" ht="14.25" x14ac:dyDescent="0.45">
      <c r="A40" s="10"/>
      <c r="B40" s="11"/>
      <c r="C40" s="10"/>
      <c r="D40" s="10"/>
      <c r="E40" s="11"/>
      <c r="F40" s="24"/>
      <c r="G40" s="24"/>
      <c r="H40" s="10"/>
      <c r="I40" s="10"/>
    </row>
    <row r="41" spans="1:9" ht="14.25" x14ac:dyDescent="0.45">
      <c r="A41" s="10"/>
      <c r="B41" s="11"/>
      <c r="C41" s="10"/>
      <c r="D41" s="10"/>
      <c r="E41" s="11"/>
      <c r="F41" s="24"/>
      <c r="G41" s="24"/>
      <c r="H41" s="10"/>
      <c r="I41" s="10"/>
    </row>
    <row r="42" spans="1:9" ht="14.25" x14ac:dyDescent="0.45">
      <c r="A42" s="10"/>
      <c r="B42" s="11"/>
      <c r="C42" s="10"/>
      <c r="D42" s="10"/>
      <c r="E42" s="11"/>
      <c r="F42" s="24"/>
      <c r="G42" s="24"/>
      <c r="H42" s="10"/>
      <c r="I42" s="10"/>
    </row>
    <row r="43" spans="1:9" ht="14.25" x14ac:dyDescent="0.45">
      <c r="A43" s="10"/>
      <c r="B43" s="11"/>
      <c r="C43" s="10"/>
      <c r="D43" s="10"/>
      <c r="E43" s="11"/>
      <c r="F43" s="24"/>
      <c r="G43" s="24"/>
      <c r="H43" s="10"/>
      <c r="I43" s="10"/>
    </row>
    <row r="44" spans="1:9" ht="14.25" x14ac:dyDescent="0.45">
      <c r="A44" s="10"/>
      <c r="B44" s="11"/>
      <c r="C44" s="10"/>
      <c r="D44" s="10"/>
      <c r="E44" s="11"/>
      <c r="F44" s="24"/>
      <c r="G44" s="24"/>
      <c r="H44" s="10"/>
      <c r="I44" s="10"/>
    </row>
    <row r="45" spans="1:9" ht="14.25" x14ac:dyDescent="0.45">
      <c r="A45" s="10"/>
      <c r="B45" s="11"/>
      <c r="C45" s="10"/>
      <c r="D45" s="10"/>
      <c r="E45" s="11"/>
      <c r="F45" s="24"/>
      <c r="G45" s="24"/>
      <c r="H45" s="10"/>
      <c r="I45" s="10"/>
    </row>
    <row r="46" spans="1:9" ht="14.25" x14ac:dyDescent="0.45">
      <c r="A46" s="10"/>
      <c r="B46" s="11"/>
      <c r="C46" s="10"/>
      <c r="D46" s="10"/>
      <c r="E46" s="11"/>
      <c r="F46" s="24"/>
      <c r="G46" s="24"/>
      <c r="H46" s="10"/>
      <c r="I46" s="10"/>
    </row>
    <row r="47" spans="1:9" ht="14.25" x14ac:dyDescent="0.45">
      <c r="A47" s="10"/>
      <c r="B47" s="11"/>
      <c r="C47" s="10"/>
      <c r="D47" s="10"/>
      <c r="E47" s="11"/>
      <c r="F47" s="24"/>
      <c r="G47" s="24"/>
      <c r="H47" s="10"/>
      <c r="I47" s="10"/>
    </row>
    <row r="48" spans="1:9" ht="14.25" x14ac:dyDescent="0.45">
      <c r="A48" s="10"/>
      <c r="B48" s="11"/>
      <c r="C48" s="10"/>
      <c r="D48" s="10"/>
      <c r="E48" s="11"/>
      <c r="F48" s="24"/>
      <c r="G48" s="24"/>
      <c r="H48" s="10"/>
      <c r="I48" s="10"/>
    </row>
    <row r="49" spans="1:9" ht="14.25" x14ac:dyDescent="0.45">
      <c r="A49" s="10"/>
      <c r="B49" s="11"/>
      <c r="C49" s="10"/>
      <c r="D49" s="10"/>
      <c r="E49" s="11"/>
      <c r="F49" s="24"/>
      <c r="G49" s="24"/>
      <c r="H49" s="10"/>
      <c r="I49" s="10"/>
    </row>
    <row r="50" spans="1:9" ht="14.25" x14ac:dyDescent="0.45">
      <c r="A50" s="10"/>
      <c r="B50" s="11"/>
      <c r="C50" s="10"/>
      <c r="D50" s="10"/>
      <c r="E50" s="11"/>
      <c r="F50" s="24"/>
      <c r="G50" s="24"/>
      <c r="H50" s="10"/>
      <c r="I50" s="10"/>
    </row>
    <row r="51" spans="1:9" ht="14.25" x14ac:dyDescent="0.45">
      <c r="A51" s="10"/>
      <c r="B51" s="11"/>
      <c r="C51" s="10"/>
      <c r="D51" s="10"/>
      <c r="E51" s="11"/>
      <c r="F51" s="24"/>
      <c r="G51" s="24"/>
      <c r="H51" s="10"/>
      <c r="I51" s="10"/>
    </row>
    <row r="52" spans="1:9" ht="14.25" x14ac:dyDescent="0.45">
      <c r="A52" s="10"/>
      <c r="B52" s="11"/>
      <c r="C52" s="10"/>
      <c r="D52" s="10"/>
      <c r="E52" s="11"/>
      <c r="F52" s="24"/>
      <c r="G52" s="24"/>
      <c r="H52" s="10"/>
      <c r="I52" s="10"/>
    </row>
    <row r="53" spans="1:9" ht="14.25" x14ac:dyDescent="0.45">
      <c r="A53" s="10"/>
      <c r="B53" s="11"/>
      <c r="C53" s="10"/>
      <c r="D53" s="10"/>
      <c r="E53" s="11"/>
      <c r="F53" s="24"/>
      <c r="G53" s="24"/>
      <c r="H53" s="10"/>
      <c r="I53" s="10"/>
    </row>
    <row r="54" spans="1:9" ht="14.25" x14ac:dyDescent="0.45">
      <c r="A54" s="10"/>
      <c r="B54" s="11"/>
      <c r="C54" s="10"/>
      <c r="D54" s="10"/>
      <c r="E54" s="11"/>
      <c r="F54" s="24"/>
      <c r="G54" s="24"/>
      <c r="H54" s="10"/>
      <c r="I54" s="10"/>
    </row>
    <row r="55" spans="1:9" ht="14.25" x14ac:dyDescent="0.45">
      <c r="A55" s="10"/>
      <c r="B55" s="11"/>
      <c r="C55" s="10"/>
      <c r="D55" s="10"/>
      <c r="E55" s="11"/>
      <c r="F55" s="24"/>
      <c r="G55" s="24"/>
      <c r="H55" s="10"/>
      <c r="I55" s="10"/>
    </row>
    <row r="56" spans="1:9" ht="14.25" x14ac:dyDescent="0.45">
      <c r="A56" s="10"/>
      <c r="B56" s="11"/>
      <c r="C56" s="10"/>
      <c r="D56" s="10"/>
      <c r="E56" s="11"/>
      <c r="F56" s="24"/>
      <c r="G56" s="24"/>
      <c r="H56" s="10"/>
      <c r="I56" s="10"/>
    </row>
    <row r="57" spans="1:9" ht="14.25" x14ac:dyDescent="0.45">
      <c r="A57" s="10"/>
      <c r="B57" s="11"/>
      <c r="C57" s="10"/>
      <c r="D57" s="10"/>
      <c r="E57" s="11"/>
      <c r="F57" s="24"/>
      <c r="G57" s="24"/>
      <c r="H57" s="10"/>
      <c r="I57" s="10"/>
    </row>
    <row r="58" spans="1:9" ht="14.25" x14ac:dyDescent="0.45">
      <c r="A58" s="10"/>
      <c r="B58" s="11"/>
      <c r="C58" s="10"/>
      <c r="D58" s="10"/>
      <c r="E58" s="11"/>
      <c r="F58" s="24"/>
      <c r="G58" s="24"/>
      <c r="H58" s="10"/>
      <c r="I58" s="10"/>
    </row>
    <row r="59" spans="1:9" ht="14.25" x14ac:dyDescent="0.45">
      <c r="A59" s="10"/>
      <c r="B59" s="11"/>
      <c r="C59" s="10"/>
      <c r="D59" s="10"/>
      <c r="E59" s="11"/>
      <c r="F59" s="24"/>
      <c r="G59" s="24"/>
      <c r="H59" s="10"/>
      <c r="I59" s="10"/>
    </row>
    <row r="60" spans="1:9" ht="14.25" x14ac:dyDescent="0.45">
      <c r="A60" s="10"/>
      <c r="B60" s="11"/>
      <c r="C60" s="10"/>
      <c r="D60" s="10"/>
      <c r="E60" s="11"/>
      <c r="F60" s="24"/>
      <c r="G60" s="24"/>
      <c r="H60" s="10"/>
      <c r="I60" s="10"/>
    </row>
    <row r="61" spans="1:9" ht="14.25" x14ac:dyDescent="0.45">
      <c r="A61" s="10"/>
      <c r="B61" s="11"/>
      <c r="C61" s="10"/>
      <c r="D61" s="10"/>
      <c r="E61" s="11"/>
      <c r="F61" s="24"/>
      <c r="G61" s="24"/>
      <c r="H61" s="10"/>
      <c r="I61" s="10"/>
    </row>
    <row r="62" spans="1:9" ht="14.25" x14ac:dyDescent="0.45">
      <c r="A62" s="10"/>
      <c r="B62" s="11"/>
      <c r="C62" s="10"/>
      <c r="D62" s="10"/>
      <c r="E62" s="11"/>
      <c r="F62" s="24"/>
      <c r="G62" s="24"/>
      <c r="H62" s="10"/>
      <c r="I62" s="10"/>
    </row>
    <row r="63" spans="1:9" ht="14.25" x14ac:dyDescent="0.45">
      <c r="A63" s="10"/>
      <c r="B63" s="11"/>
      <c r="C63" s="10"/>
      <c r="D63" s="10"/>
      <c r="E63" s="11"/>
      <c r="F63" s="24"/>
      <c r="G63" s="24"/>
      <c r="H63" s="10"/>
      <c r="I63" s="10"/>
    </row>
    <row r="64" spans="1:9" ht="14.25" x14ac:dyDescent="0.45">
      <c r="A64" s="10"/>
      <c r="B64" s="11"/>
      <c r="C64" s="10"/>
      <c r="D64" s="10"/>
      <c r="E64" s="11"/>
      <c r="F64" s="24"/>
      <c r="G64" s="24"/>
      <c r="H64" s="10"/>
      <c r="I64" s="10"/>
    </row>
    <row r="65" spans="1:9" ht="14.25" x14ac:dyDescent="0.45">
      <c r="A65" s="10"/>
      <c r="B65" s="11"/>
      <c r="C65" s="10"/>
      <c r="D65" s="10"/>
      <c r="E65" s="11"/>
      <c r="F65" s="24"/>
      <c r="G65" s="24"/>
      <c r="H65" s="10"/>
      <c r="I65" s="10"/>
    </row>
    <row r="66" spans="1:9" ht="14.25" x14ac:dyDescent="0.45">
      <c r="A66" s="10"/>
      <c r="B66" s="11"/>
      <c r="C66" s="10"/>
      <c r="D66" s="10"/>
      <c r="E66" s="11"/>
      <c r="F66" s="24"/>
      <c r="G66" s="24"/>
      <c r="H66" s="10"/>
      <c r="I66" s="10"/>
    </row>
    <row r="67" spans="1:9" ht="14.25" x14ac:dyDescent="0.45">
      <c r="A67" s="10"/>
      <c r="B67" s="11"/>
      <c r="C67" s="10"/>
      <c r="D67" s="10"/>
      <c r="E67" s="11"/>
      <c r="F67" s="24"/>
      <c r="G67" s="24"/>
      <c r="H67" s="10"/>
      <c r="I67" s="10"/>
    </row>
    <row r="68" spans="1:9" ht="14.25" x14ac:dyDescent="0.45">
      <c r="A68" s="10"/>
      <c r="B68" s="11"/>
      <c r="C68" s="10"/>
      <c r="D68" s="10"/>
      <c r="E68" s="11"/>
      <c r="F68" s="24"/>
      <c r="G68" s="24"/>
      <c r="H68" s="10"/>
      <c r="I68" s="10"/>
    </row>
    <row r="69" spans="1:9" ht="14.25" x14ac:dyDescent="0.45">
      <c r="A69" s="10"/>
      <c r="B69" s="11"/>
      <c r="C69" s="10"/>
      <c r="D69" s="10"/>
      <c r="E69" s="11"/>
      <c r="F69" s="24"/>
      <c r="G69" s="24"/>
      <c r="H69" s="10"/>
      <c r="I69" s="10"/>
    </row>
    <row r="70" spans="1:9" ht="14.25" x14ac:dyDescent="0.45">
      <c r="A70" s="10"/>
      <c r="B70" s="11"/>
      <c r="C70" s="10"/>
      <c r="D70" s="10"/>
      <c r="E70" s="11"/>
      <c r="F70" s="24"/>
      <c r="G70" s="24"/>
      <c r="H70" s="10"/>
      <c r="I70" s="10"/>
    </row>
    <row r="71" spans="1:9" ht="14.25" x14ac:dyDescent="0.45">
      <c r="A71" s="10"/>
      <c r="B71" s="11"/>
      <c r="C71" s="10"/>
      <c r="D71" s="10"/>
      <c r="E71" s="11"/>
      <c r="F71" s="24"/>
      <c r="G71" s="24"/>
      <c r="H71" s="10"/>
      <c r="I71" s="10"/>
    </row>
    <row r="72" spans="1:9" ht="14.25" x14ac:dyDescent="0.45">
      <c r="A72" s="10"/>
      <c r="B72" s="11"/>
      <c r="C72" s="10"/>
      <c r="D72" s="10"/>
      <c r="E72" s="11"/>
      <c r="F72" s="24"/>
      <c r="G72" s="24"/>
      <c r="H72" s="10"/>
      <c r="I72" s="10"/>
    </row>
    <row r="73" spans="1:9" ht="14.25" x14ac:dyDescent="0.45">
      <c r="A73" s="10"/>
      <c r="B73" s="11"/>
      <c r="C73" s="10"/>
      <c r="D73" s="10"/>
      <c r="E73" s="11"/>
      <c r="F73" s="24"/>
      <c r="G73" s="24"/>
      <c r="H73" s="10"/>
      <c r="I73" s="10"/>
    </row>
    <row r="74" spans="1:9" ht="14.25" x14ac:dyDescent="0.45">
      <c r="A74" s="10"/>
      <c r="B74" s="11"/>
      <c r="C74" s="10"/>
      <c r="D74" s="10"/>
      <c r="E74" s="11"/>
      <c r="F74" s="24"/>
      <c r="G74" s="24"/>
      <c r="H74" s="10"/>
      <c r="I74" s="10"/>
    </row>
    <row r="75" spans="1:9" ht="14.25" x14ac:dyDescent="0.45">
      <c r="A75" s="10"/>
      <c r="B75" s="11"/>
      <c r="C75" s="10"/>
      <c r="D75" s="10"/>
      <c r="E75" s="11"/>
      <c r="F75" s="24"/>
      <c r="G75" s="24"/>
      <c r="H75" s="10"/>
      <c r="I75" s="10"/>
    </row>
    <row r="76" spans="1:9" ht="14.25" x14ac:dyDescent="0.45">
      <c r="A76" s="10"/>
      <c r="B76" s="11"/>
      <c r="C76" s="10"/>
      <c r="D76" s="10"/>
      <c r="E76" s="11"/>
      <c r="F76" s="24"/>
      <c r="G76" s="24"/>
      <c r="H76" s="10"/>
      <c r="I76" s="10"/>
    </row>
    <row r="77" spans="1:9" ht="14.25" x14ac:dyDescent="0.45">
      <c r="A77" s="10"/>
      <c r="B77" s="11"/>
      <c r="C77" s="10"/>
      <c r="D77" s="10"/>
      <c r="E77" s="11"/>
      <c r="F77" s="24"/>
      <c r="G77" s="24"/>
      <c r="H77" s="10"/>
      <c r="I77" s="10"/>
    </row>
    <row r="78" spans="1:9" ht="14.25" x14ac:dyDescent="0.45">
      <c r="A78" s="10"/>
      <c r="B78" s="11"/>
      <c r="C78" s="10"/>
      <c r="D78" s="10"/>
      <c r="E78" s="11"/>
      <c r="F78" s="24"/>
      <c r="G78" s="24"/>
      <c r="H78" s="10"/>
      <c r="I78" s="10"/>
    </row>
    <row r="79" spans="1:9" ht="14.25" x14ac:dyDescent="0.45">
      <c r="A79" s="10"/>
      <c r="B79" s="11"/>
      <c r="C79" s="10"/>
      <c r="D79" s="10"/>
      <c r="E79" s="11"/>
      <c r="F79" s="24"/>
      <c r="G79" s="24"/>
      <c r="H79" s="10"/>
      <c r="I79" s="10"/>
    </row>
    <row r="80" spans="1:9" ht="14.25" x14ac:dyDescent="0.45">
      <c r="A80" s="10"/>
      <c r="B80" s="11"/>
      <c r="C80" s="10"/>
      <c r="D80" s="10"/>
      <c r="E80" s="11"/>
      <c r="F80" s="24"/>
      <c r="G80" s="24"/>
      <c r="H80" s="10"/>
      <c r="I80" s="10"/>
    </row>
    <row r="81" spans="1:9" ht="14.25" x14ac:dyDescent="0.45">
      <c r="A81" s="10"/>
      <c r="B81" s="11"/>
      <c r="C81" s="10"/>
      <c r="D81" s="10"/>
      <c r="E81" s="11"/>
      <c r="F81" s="24"/>
      <c r="G81" s="24"/>
      <c r="H81" s="10"/>
      <c r="I81" s="10"/>
    </row>
    <row r="82" spans="1:9" ht="14.25" x14ac:dyDescent="0.45">
      <c r="A82" s="10"/>
      <c r="B82" s="11"/>
      <c r="C82" s="10"/>
      <c r="D82" s="10"/>
      <c r="E82" s="11"/>
      <c r="F82" s="24"/>
      <c r="G82" s="24"/>
      <c r="H82" s="10"/>
      <c r="I82" s="10"/>
    </row>
    <row r="83" spans="1:9" ht="14.25" x14ac:dyDescent="0.45">
      <c r="A83" s="10"/>
      <c r="B83" s="11"/>
      <c r="C83" s="10"/>
      <c r="D83" s="10"/>
      <c r="E83" s="11"/>
      <c r="F83" s="24"/>
      <c r="G83" s="24"/>
      <c r="H83" s="10"/>
      <c r="I83" s="10"/>
    </row>
    <row r="84" spans="1:9" ht="14.25" x14ac:dyDescent="0.45">
      <c r="A84" s="10"/>
      <c r="B84" s="11"/>
      <c r="C84" s="10"/>
      <c r="D84" s="10"/>
      <c r="E84" s="11"/>
      <c r="F84" s="24"/>
      <c r="G84" s="24"/>
      <c r="H84" s="10"/>
      <c r="I84" s="10"/>
    </row>
    <row r="85" spans="1:9" ht="14.25" x14ac:dyDescent="0.45">
      <c r="A85" s="10"/>
      <c r="B85" s="11"/>
      <c r="C85" s="10"/>
      <c r="D85" s="10"/>
      <c r="E85" s="11"/>
      <c r="F85" s="24"/>
      <c r="G85" s="24"/>
      <c r="H85" s="10"/>
      <c r="I85" s="10"/>
    </row>
    <row r="86" spans="1:9" ht="14.25" x14ac:dyDescent="0.45">
      <c r="A86" s="10"/>
      <c r="B86" s="11"/>
      <c r="C86" s="10"/>
      <c r="D86" s="10"/>
      <c r="E86" s="11"/>
      <c r="F86" s="24"/>
      <c r="G86" s="24"/>
      <c r="H86" s="10"/>
      <c r="I86" s="10"/>
    </row>
    <row r="87" spans="1:9" ht="14.25" x14ac:dyDescent="0.45">
      <c r="A87" s="10"/>
      <c r="B87" s="11"/>
      <c r="C87" s="10"/>
      <c r="D87" s="10"/>
      <c r="E87" s="11"/>
      <c r="F87" s="24"/>
      <c r="G87" s="24"/>
      <c r="H87" s="10"/>
      <c r="I87" s="10"/>
    </row>
    <row r="88" spans="1:9" ht="14.25" x14ac:dyDescent="0.45">
      <c r="A88" s="10"/>
      <c r="B88" s="11"/>
      <c r="C88" s="10"/>
      <c r="D88" s="10"/>
      <c r="E88" s="11"/>
      <c r="F88" s="24"/>
      <c r="G88" s="24"/>
      <c r="H88" s="10"/>
      <c r="I88" s="10"/>
    </row>
    <row r="89" spans="1:9" ht="14.25" x14ac:dyDescent="0.45">
      <c r="A89" s="10"/>
      <c r="B89" s="11"/>
      <c r="C89" s="10"/>
      <c r="D89" s="10"/>
      <c r="E89" s="11"/>
      <c r="F89" s="24"/>
      <c r="G89" s="24"/>
      <c r="H89" s="10"/>
      <c r="I89" s="10"/>
    </row>
    <row r="90" spans="1:9" ht="14.25" x14ac:dyDescent="0.45">
      <c r="A90" s="10"/>
      <c r="B90" s="11"/>
      <c r="C90" s="10"/>
      <c r="D90" s="10"/>
      <c r="E90" s="11"/>
      <c r="F90" s="24"/>
      <c r="G90" s="24"/>
      <c r="H90" s="10"/>
      <c r="I90" s="10"/>
    </row>
    <row r="91" spans="1:9" ht="14.25" x14ac:dyDescent="0.45">
      <c r="A91" s="10"/>
      <c r="B91" s="11"/>
      <c r="C91" s="10"/>
      <c r="D91" s="10"/>
      <c r="E91" s="11"/>
      <c r="F91" s="24"/>
      <c r="G91" s="24"/>
      <c r="H91" s="10"/>
      <c r="I91" s="10"/>
    </row>
    <row r="92" spans="1:9" ht="14.25" x14ac:dyDescent="0.45">
      <c r="A92" s="10"/>
      <c r="B92" s="11"/>
      <c r="C92" s="10"/>
      <c r="D92" s="10"/>
      <c r="E92" s="11"/>
      <c r="F92" s="24"/>
      <c r="G92" s="24"/>
      <c r="H92" s="10"/>
      <c r="I92" s="10"/>
    </row>
    <row r="93" spans="1:9" ht="14.25" x14ac:dyDescent="0.45">
      <c r="A93" s="10"/>
      <c r="B93" s="11"/>
      <c r="C93" s="10"/>
      <c r="D93" s="10"/>
      <c r="E93" s="11"/>
      <c r="F93" s="24"/>
      <c r="G93" s="24"/>
      <c r="H93" s="10"/>
      <c r="I93" s="10"/>
    </row>
    <row r="94" spans="1:9" ht="14.25" x14ac:dyDescent="0.45">
      <c r="A94" s="10"/>
      <c r="B94" s="11"/>
      <c r="C94" s="10"/>
      <c r="D94" s="10"/>
      <c r="E94" s="11"/>
      <c r="F94" s="24"/>
      <c r="G94" s="24"/>
      <c r="H94" s="10"/>
      <c r="I94" s="10"/>
    </row>
    <row r="95" spans="1:9" ht="14.25" x14ac:dyDescent="0.45">
      <c r="A95" s="10"/>
      <c r="B95" s="11"/>
      <c r="C95" s="10"/>
      <c r="D95" s="10"/>
      <c r="E95" s="11"/>
      <c r="F95" s="24"/>
      <c r="G95" s="24"/>
      <c r="H95" s="10"/>
      <c r="I95" s="10"/>
    </row>
    <row r="96" spans="1:9" ht="14.25" x14ac:dyDescent="0.45">
      <c r="A96" s="10"/>
      <c r="B96" s="11"/>
      <c r="C96" s="10"/>
      <c r="D96" s="10"/>
      <c r="E96" s="11"/>
      <c r="F96" s="24"/>
      <c r="G96" s="24"/>
      <c r="H96" s="10"/>
      <c r="I96" s="10"/>
    </row>
    <row r="97" spans="1:9" ht="14.25" x14ac:dyDescent="0.45">
      <c r="A97" s="10"/>
      <c r="B97" s="11"/>
      <c r="C97" s="10"/>
      <c r="D97" s="10"/>
      <c r="E97" s="11"/>
      <c r="F97" s="24"/>
      <c r="G97" s="24"/>
      <c r="H97" s="10"/>
      <c r="I97" s="10"/>
    </row>
    <row r="98" spans="1:9" ht="14.25" x14ac:dyDescent="0.45">
      <c r="A98" s="10"/>
      <c r="B98" s="11"/>
      <c r="C98" s="10"/>
      <c r="D98" s="10"/>
      <c r="E98" s="11"/>
      <c r="F98" s="24"/>
      <c r="G98" s="24"/>
      <c r="H98" s="10"/>
      <c r="I98" s="10"/>
    </row>
    <row r="99" spans="1:9" ht="14.25" x14ac:dyDescent="0.45">
      <c r="A99" s="10"/>
      <c r="B99" s="11"/>
      <c r="C99" s="10"/>
      <c r="D99" s="10"/>
      <c r="E99" s="11"/>
      <c r="F99" s="24"/>
      <c r="G99" s="24"/>
      <c r="H99" s="10"/>
      <c r="I99" s="10"/>
    </row>
    <row r="100" spans="1:9" ht="14.25" x14ac:dyDescent="0.45">
      <c r="A100" s="10"/>
      <c r="B100" s="11"/>
      <c r="C100" s="10"/>
      <c r="D100" s="10"/>
      <c r="E100" s="11"/>
      <c r="F100" s="24"/>
      <c r="G100" s="24"/>
      <c r="H100" s="10"/>
      <c r="I100" s="10"/>
    </row>
    <row r="101" spans="1:9" ht="14.25" x14ac:dyDescent="0.45">
      <c r="A101" s="10"/>
      <c r="B101" s="11"/>
      <c r="C101" s="10"/>
      <c r="D101" s="10"/>
      <c r="E101" s="11"/>
      <c r="F101" s="24"/>
      <c r="G101" s="24"/>
      <c r="H101" s="10"/>
      <c r="I101" s="10"/>
    </row>
    <row r="102" spans="1:9" ht="14.25" x14ac:dyDescent="0.45">
      <c r="A102" s="10"/>
      <c r="B102" s="11"/>
      <c r="C102" s="10"/>
      <c r="D102" s="10"/>
      <c r="E102" s="11"/>
      <c r="F102" s="24"/>
      <c r="G102" s="24"/>
      <c r="H102" s="10"/>
      <c r="I102" s="10"/>
    </row>
    <row r="103" spans="1:9" ht="14.25" x14ac:dyDescent="0.45">
      <c r="A103" s="10"/>
      <c r="B103" s="11"/>
      <c r="C103" s="10"/>
      <c r="D103" s="10"/>
      <c r="E103" s="11"/>
      <c r="F103" s="24"/>
      <c r="G103" s="24"/>
      <c r="H103" s="10"/>
      <c r="I103" s="10"/>
    </row>
  </sheetData>
  <mergeCells count="1">
    <mergeCell ref="A1:I1"/>
  </mergeCells>
  <dataValidations count="1">
    <dataValidation type="list" sqref="H4:H103">
      <formula1>"Да,Нет"</formula1>
      <formula2>0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C203"/>
  <sheetViews>
    <sheetView workbookViewId="0">
      <selection sqref="A1:XFD1048576"/>
    </sheetView>
  </sheetViews>
  <sheetFormatPr defaultColWidth="8.6640625" defaultRowHeight="12.75" x14ac:dyDescent="0.35"/>
  <cols>
    <col min="1" max="1" width="15" style="1" customWidth="1"/>
    <col min="2" max="2" width="28" style="1" customWidth="1"/>
    <col min="3" max="3" width="30" style="1" customWidth="1"/>
    <col min="4" max="6" width="14" style="1" customWidth="1"/>
    <col min="7" max="7" width="22" style="1" customWidth="1"/>
    <col min="8" max="9" width="15" style="1" customWidth="1"/>
    <col min="10" max="10" width="17" style="1" customWidth="1"/>
    <col min="11" max="12" width="28" style="1" customWidth="1"/>
    <col min="13" max="14" width="16" style="1" customWidth="1"/>
    <col min="15" max="16" width="17" style="1" customWidth="1"/>
    <col min="17" max="18" width="16" style="1" customWidth="1"/>
    <col min="19" max="20" width="13" style="1" customWidth="1"/>
    <col min="21" max="22" width="14" style="1" customWidth="1"/>
    <col min="23" max="24" width="13" style="1" customWidth="1"/>
    <col min="25" max="26" width="14" style="1" customWidth="1"/>
    <col min="27" max="28" width="13" style="1" customWidth="1"/>
    <col min="29" max="30" width="14" style="1" customWidth="1"/>
    <col min="31" max="32" width="13" style="1" customWidth="1"/>
    <col min="33" max="33" width="38" style="1" customWidth="1"/>
    <col min="34" max="38" width="16" style="1" customWidth="1"/>
    <col min="39" max="40" width="14" style="1" customWidth="1"/>
    <col min="41" max="45" width="18" style="1" customWidth="1"/>
    <col min="46" max="48" width="16" style="1" customWidth="1"/>
    <col min="49" max="51" width="20" style="1" customWidth="1"/>
    <col min="52" max="53" width="15" style="1" customWidth="1"/>
    <col min="54" max="56" width="13" style="1" customWidth="1"/>
    <col min="57" max="57" width="42" style="1" customWidth="1"/>
    <col min="58" max="58" width="8" style="1" customWidth="1"/>
    <col min="59" max="60" width="10" style="1" customWidth="1"/>
    <col min="61" max="61" width="16" style="1" customWidth="1"/>
    <col min="62" max="62" width="12" style="1" customWidth="1"/>
    <col min="63" max="63" width="18" style="1" customWidth="1"/>
    <col min="64" max="65" width="14" style="1" customWidth="1"/>
    <col min="66" max="66" width="16" style="1" customWidth="1"/>
    <col min="67" max="67" width="22" style="1" customWidth="1"/>
    <col min="68" max="68" width="26" style="1" customWidth="1"/>
    <col min="69" max="69" width="14" style="1" customWidth="1"/>
    <col min="70" max="70" width="20" style="1" customWidth="1"/>
    <col min="71" max="73" width="16" style="1" customWidth="1"/>
    <col min="74" max="74" width="20" style="1" customWidth="1"/>
    <col min="75" max="76" width="14" style="1" customWidth="1"/>
  </cols>
  <sheetData>
    <row r="1" spans="1:81" ht="21" x14ac:dyDescent="0.35">
      <c r="A1" s="52" t="s">
        <v>137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</row>
    <row r="2" spans="1:81" ht="14.25" x14ac:dyDescent="0.45">
      <c r="A2" s="53" t="s">
        <v>138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  <c r="BE2" s="53"/>
      <c r="BF2" s="53"/>
    </row>
    <row r="3" spans="1:81" ht="52.5" x14ac:dyDescent="0.4">
      <c r="A3" s="2" t="s">
        <v>128</v>
      </c>
      <c r="B3" s="2" t="s">
        <v>327</v>
      </c>
      <c r="C3" s="2" t="s">
        <v>72</v>
      </c>
      <c r="D3" s="2" t="s">
        <v>139</v>
      </c>
      <c r="E3" s="2" t="s">
        <v>140</v>
      </c>
      <c r="F3" s="2" t="s">
        <v>141</v>
      </c>
      <c r="G3" s="2" t="s">
        <v>142</v>
      </c>
      <c r="H3" s="2" t="s">
        <v>143</v>
      </c>
      <c r="I3" s="2" t="s">
        <v>144</v>
      </c>
      <c r="J3" s="2" t="s">
        <v>145</v>
      </c>
      <c r="K3" s="2" t="s">
        <v>146</v>
      </c>
      <c r="L3" s="2" t="s">
        <v>147</v>
      </c>
      <c r="M3" s="2" t="s">
        <v>129</v>
      </c>
      <c r="N3" s="2" t="s">
        <v>148</v>
      </c>
      <c r="O3" s="2" t="s">
        <v>149</v>
      </c>
      <c r="P3" s="2" t="s">
        <v>150</v>
      </c>
      <c r="Q3" s="2" t="s">
        <v>151</v>
      </c>
      <c r="R3" s="2" t="s">
        <v>152</v>
      </c>
      <c r="S3" s="2" t="s">
        <v>153</v>
      </c>
      <c r="T3" s="2" t="s">
        <v>154</v>
      </c>
      <c r="U3" s="2" t="s">
        <v>155</v>
      </c>
      <c r="V3" s="2" t="s">
        <v>156</v>
      </c>
      <c r="W3" s="2" t="s">
        <v>157</v>
      </c>
      <c r="X3" s="2" t="s">
        <v>158</v>
      </c>
      <c r="Y3" s="2" t="s">
        <v>159</v>
      </c>
      <c r="Z3" s="2" t="s">
        <v>160</v>
      </c>
      <c r="AA3" s="2" t="s">
        <v>161</v>
      </c>
      <c r="AB3" s="2" t="s">
        <v>162</v>
      </c>
      <c r="AC3" s="2" t="s">
        <v>163</v>
      </c>
      <c r="AD3" s="2" t="s">
        <v>164</v>
      </c>
      <c r="AE3" s="2" t="s">
        <v>165</v>
      </c>
      <c r="AF3" s="2" t="s">
        <v>166</v>
      </c>
      <c r="AG3" s="2" t="s">
        <v>12</v>
      </c>
      <c r="AH3" s="2" t="s">
        <v>167</v>
      </c>
      <c r="AI3" s="2" t="s">
        <v>168</v>
      </c>
      <c r="AJ3" s="2" t="s">
        <v>169</v>
      </c>
      <c r="AK3" s="2" t="s">
        <v>170</v>
      </c>
      <c r="AL3" s="2" t="s">
        <v>171</v>
      </c>
      <c r="AM3" s="2" t="s">
        <v>172</v>
      </c>
      <c r="AN3" s="2" t="s">
        <v>173</v>
      </c>
      <c r="AO3" s="2" t="s">
        <v>174</v>
      </c>
      <c r="AP3" s="2" t="s">
        <v>175</v>
      </c>
      <c r="AQ3" s="2" t="s">
        <v>176</v>
      </c>
      <c r="AR3" s="2" t="s">
        <v>177</v>
      </c>
      <c r="AS3" s="2" t="s">
        <v>178</v>
      </c>
      <c r="AT3" s="2" t="s">
        <v>179</v>
      </c>
      <c r="AU3" s="2" t="s">
        <v>180</v>
      </c>
      <c r="AV3" s="2" t="s">
        <v>181</v>
      </c>
      <c r="AW3" s="2" t="s">
        <v>182</v>
      </c>
      <c r="AX3" s="2" t="s">
        <v>183</v>
      </c>
      <c r="AY3" s="2" t="s">
        <v>184</v>
      </c>
      <c r="AZ3" s="2" t="s">
        <v>185</v>
      </c>
      <c r="BA3" s="2" t="s">
        <v>186</v>
      </c>
      <c r="BB3" s="2" t="s">
        <v>187</v>
      </c>
      <c r="BC3" s="2" t="s">
        <v>188</v>
      </c>
      <c r="BD3" s="2" t="s">
        <v>189</v>
      </c>
      <c r="BE3" s="2" t="s">
        <v>190</v>
      </c>
      <c r="BF3" s="2" t="s">
        <v>191</v>
      </c>
      <c r="BG3" s="17" t="s">
        <v>192</v>
      </c>
      <c r="BH3" s="17" t="s">
        <v>193</v>
      </c>
      <c r="BI3" s="17" t="s">
        <v>194</v>
      </c>
      <c r="BJ3" s="17" t="s">
        <v>195</v>
      </c>
      <c r="BK3" s="17" t="s">
        <v>196</v>
      </c>
      <c r="BL3" s="17" t="s">
        <v>197</v>
      </c>
      <c r="BM3" s="17" t="s">
        <v>198</v>
      </c>
      <c r="BN3" s="17" t="s">
        <v>199</v>
      </c>
      <c r="BO3" s="17" t="s">
        <v>200</v>
      </c>
      <c r="BP3" s="17" t="s">
        <v>201</v>
      </c>
      <c r="BQ3" s="17" t="s">
        <v>202</v>
      </c>
      <c r="BR3" s="17" t="s">
        <v>203</v>
      </c>
      <c r="BS3" s="17" t="s">
        <v>204</v>
      </c>
      <c r="BT3" s="17" t="s">
        <v>205</v>
      </c>
      <c r="BU3" s="17" t="s">
        <v>206</v>
      </c>
      <c r="BV3" s="17" t="s">
        <v>207</v>
      </c>
      <c r="BW3" s="17" t="s">
        <v>208</v>
      </c>
      <c r="BX3" s="17" t="s">
        <v>209</v>
      </c>
      <c r="BY3" s="46" t="s">
        <v>328</v>
      </c>
      <c r="BZ3" s="46" t="s">
        <v>329</v>
      </c>
      <c r="CA3" s="46" t="s">
        <v>330</v>
      </c>
      <c r="CB3" s="46" t="s">
        <v>331</v>
      </c>
      <c r="CC3" s="46" t="s">
        <v>332</v>
      </c>
    </row>
    <row r="4" spans="1:81" ht="14.25" x14ac:dyDescent="0.45">
      <c r="A4" s="10"/>
      <c r="B4" s="10"/>
      <c r="C4" s="10"/>
      <c r="D4" s="10"/>
      <c r="E4" s="10"/>
      <c r="F4" s="10"/>
      <c r="G4" s="10"/>
      <c r="H4" s="25" t="str">
        <f>IFERROR(VLOOKUP(C4,'01_Поставщики'!$A$4:$M$11,2,FALSE()),"")</f>
        <v/>
      </c>
      <c r="I4" s="10"/>
      <c r="J4" s="25" t="str">
        <f>IFERROR(VLOOKUP(C4,'01_Поставщики'!$A$4:$M$11,8,FALSE()),"")</f>
        <v/>
      </c>
      <c r="K4" s="25" t="str">
        <f>IFERROR(VLOOKUP(C4,'01_Поставщики'!$A$4:$M$11,4,FALSE()),"")</f>
        <v/>
      </c>
      <c r="L4" s="25" t="str">
        <f>IFERROR(VLOOKUP(C4,'01_Поставщики'!$A$4:$M$11,10,FALSE()),"")</f>
        <v/>
      </c>
      <c r="M4" s="26"/>
      <c r="N4" s="11"/>
      <c r="O4" s="10"/>
      <c r="P4" s="10"/>
      <c r="Q4" s="27"/>
      <c r="R4" s="27"/>
      <c r="S4" s="8"/>
      <c r="T4" s="8">
        <f>IFERROR(INDEX('02_Схемы оплаты'!$C$4:$C$19,MATCH($C4&amp;"|"&amp;$G4,'02_Схемы оплаты'!$H$4:$H$19,0)),0)</f>
        <v>0</v>
      </c>
      <c r="U4" s="11"/>
      <c r="V4" s="28"/>
      <c r="W4" s="8"/>
      <c r="X4" s="8">
        <f>IFERROR(INDEX('02_Схемы оплаты'!$D$4:$D$19,MATCH($C4&amp;"|"&amp;$G4,'02_Схемы оплаты'!$H$4:$H$19,0)),0)</f>
        <v>0</v>
      </c>
      <c r="Y4" s="11"/>
      <c r="Z4" s="28"/>
      <c r="AA4" s="8"/>
      <c r="AB4" s="8">
        <f>IFERROR(INDEX('02_Схемы оплаты'!$E$4:$E$19,MATCH($C4&amp;"|"&amp;$G4,'02_Схемы оплаты'!$H$4:$H$19,0)),0)</f>
        <v>0</v>
      </c>
      <c r="AC4" s="11"/>
      <c r="AD4" s="28"/>
      <c r="AE4" s="8"/>
      <c r="AF4" s="10"/>
      <c r="AG4" s="10"/>
      <c r="AH4" s="25">
        <f>IFERROR(SUMIFS('04_Потребность'!$D$4:$D$103,'04_Потребность'!$A$4:$A$103,A4,'04_Потребность'!$C$4:$C$103,B4),0)</f>
        <v>0</v>
      </c>
      <c r="AI4" s="26" t="str">
        <f>IF(OR(A4="",B4=""),"",IFERROR(SUMIFS('04_Потребность'!$E$4:$E$103,'04_Потребность'!$A$4:$A$103,A4,'04_Потребность'!$C$4:$C$103,B4),0))</f>
        <v/>
      </c>
      <c r="AJ4" s="25" t="str">
        <f>IF(OR(A4="",B4=""),"",IFERROR(SUMIFS('04_Потребность'!$F$4:$F$103,'04_Потребность'!$A$4:$A$103,A4,'04_Потребность'!$C$4:$C$103,B4),0))</f>
        <v/>
      </c>
      <c r="AK4" s="29" t="str">
        <f>IF(OR(A4="",B4=""),"",IFERROR(SUMIFS('04_Потребность'!$G$4:$G$103,'04_Потребность'!$A$4:$A$103,A4,'04_Потребность'!$C$4:$C$103,B4),0))</f>
        <v/>
      </c>
      <c r="AL4" s="25" t="str">
        <f>IF('03_Настройки'!$B$7="Нет","Нет",IF(COUNTIFS('04_Потребность'!$A$4:$A$103,A4,'04_Потребность'!$C$4:$C$103,B4,'04_Потребность'!$H$4:$H$103,"Да")&gt;0,"Да","Нет"))</f>
        <v>Нет</v>
      </c>
      <c r="AM4" s="30">
        <f t="shared" ref="AM4:AM35" si="0">IFERROR(MIN(1,D4/AH4),0)</f>
        <v>0</v>
      </c>
      <c r="AN4" s="30">
        <f t="shared" ref="AN4:AN35" si="1">SUM(T4,X4,AB4)</f>
        <v>0</v>
      </c>
      <c r="AO4" s="29">
        <f t="shared" ref="AO4:AO35" si="2">IFERROR(E4*(T4*V4*(1+W4)+X4*Z4*(1+AA4)+AB4*AD4*(1+AE4)),0)</f>
        <v>0</v>
      </c>
      <c r="AP4" s="29">
        <f t="shared" ref="AP4:AP35" si="3">AO4*S4</f>
        <v>0</v>
      </c>
      <c r="AQ4" s="29">
        <f t="shared" ref="AQ4:AQ35" si="4">AO4+AP4+Q4+R4</f>
        <v>0</v>
      </c>
      <c r="AR4" s="29">
        <f>IFERROR(E4*'03_Настройки'!$B$4/365*(IF(T4&gt;0,T4*V4*(1+W4)*MAX(0,N4-U4),0)+IF(X4&gt;0,X4*Z4*(1+AA4)*MAX(0,N4-Y4),0)+IF(AB4&gt;0,AB4*AD4*(1+AE4)*MAX(0,N4-AC4),0)),0)</f>
        <v>0</v>
      </c>
      <c r="AS4" s="29">
        <f t="shared" ref="AS4:AS35" si="5">AQ4+AR4</f>
        <v>0</v>
      </c>
      <c r="AT4" s="31">
        <f t="shared" ref="AT4:AT35" si="6">IFERROR(MAX(0,N4-M4),0)</f>
        <v>0</v>
      </c>
      <c r="AU4" s="31">
        <f t="shared" ref="AU4:AU35" si="7">IFERROR(MAX(0,N4-AI4),0)</f>
        <v>0</v>
      </c>
      <c r="AV4" s="32">
        <f t="shared" ref="AV4:AV35" si="8">IF(AL4="Да",MIN(AH4,AJ4*AU4),0)</f>
        <v>0</v>
      </c>
      <c r="AW4" s="29" t="e">
        <f t="shared" ref="AW4:AW35" si="9">AV4*AK4</f>
        <v>#VALUE!</v>
      </c>
      <c r="AX4" s="29">
        <f t="shared" ref="AX4:AX35" si="10">AS4*AH4</f>
        <v>0</v>
      </c>
      <c r="AY4" s="29" t="e">
        <f t="shared" ref="AY4:AY35" si="11">AX4+AW4</f>
        <v>#VALUE!</v>
      </c>
      <c r="AZ4" s="25" t="str">
        <f>IF(AND(A4&lt;&gt;"",B4&lt;&gt;"",C4&lt;&gt;"",D4&gt;0,E4&gt;0,N4&lt;&gt;"",AH4&gt;0,O4="Да",P4="Да",BZ4="ПОЛНО",ABS(AN4-1)&lt;='03_Настройки'!$B$5,IF(T4&gt;0,AND(U4&lt;&gt;"",V4&gt;0),TRUE()),IF(X4&gt;0,AND(Y4&lt;&gt;"",Z4&gt;0),TRUE()),IF(AB4&gt;0,AND(AC4&lt;&gt;"",AD4&gt;0),TRUE()),OR(BM4="",BM4="Активна")),"Да","Нет")</f>
        <v>Нет</v>
      </c>
      <c r="BA4" s="25" t="str">
        <f t="shared" ref="BA4:BA35" si="12">IF(AM4&gt;=1,"Да","Нет")</f>
        <v>Нет</v>
      </c>
      <c r="BB4" s="25" t="str">
        <f t="shared" ref="BB4:BB35" si="13">IF(AND(AZ4="Да",BA4="Да",COUNTIFS($A$4:$A$203,A4,$B$4:$B$203,B4,$AZ$4:$AZ$203,"Да",$BA$4:$BA$203,"Да",$AX$4:$AX$203,"&lt;"&amp;AX4)=0,COUNTIFS($A$4:$A$203,A4,$B$4:$B$203,B4,$AZ$4:$AZ$203,"Да",$BA$4:$BA$203,"Да",$AX$4:$AX$203,"="&amp;AX4,$BF$4:$BF$203,"&lt;"&amp;BF4)=0),"ДА","")</f>
        <v/>
      </c>
      <c r="BC4" s="25" t="str">
        <f t="shared" ref="BC4:BC35" si="14">IF(AND(AZ4="Да",BA4="Да",COUNTIFS($A$4:$A$203,A4,$B$4:$B$203,B4,$AZ$4:$AZ$203,"Да",$BA$4:$BA$203,"Да",$N$4:$N$203,"&lt;"&amp;N4)=0,COUNTIFS($A$4:$A$203,A4,$B$4:$B$203,B4,$AZ$4:$AZ$203,"Да",$BA$4:$BA$203,"Да",$N$4:$N$203,"="&amp;N4,$BF$4:$BF$203,"&lt;"&amp;BF4)=0),"ДА","")</f>
        <v/>
      </c>
      <c r="BD4" s="25" t="str">
        <f t="shared" ref="BD4:BD35" si="15">IF(AND(AZ4="Да",BA4="Да",COUNTIFS($A$4:$A$203,A4,$B$4:$B$203,B4,$AZ$4:$AZ$203,"Да",$BA$4:$BA$203,"Да",$AY$4:$AY$203,"&lt;"&amp;AY4)=0,COUNTIFS($A$4:$A$203,A4,$B$4:$B$203,B4,$AZ$4:$AZ$203,"Да",$BA$4:$BA$203,"Да",$AY$4:$AY$203,"="&amp;AY4,$BF$4:$BF$203,"&lt;"&amp;BF4)=0),"ДА","")</f>
        <v/>
      </c>
      <c r="BE4" s="25" t="str">
        <f>IF(A4="","",IF(BZ4&lt;&gt;"ПОЛНО","BLOCK: неполная форма",IF(O4&lt;&gt;"Да","BLOCK: ввоз не разрешён",IF(P4&lt;&gt;"Да","BLOCK: документы не подтверждены",IF(ABS(AN4-1)&gt;'03_Настройки'!$B$5,"BLOCK: платежи не 100%",IF(AND(BM4&lt;&gt;"",BM4&lt;&gt;"Активна"),"BLOCK: позиция "&amp;BM4,IF(BA4&lt;&gt;"Да","PARTIAL: не покрывает потребность",IF(BB4="ДА","самый дешёвый"&amp;IF(BC4="ДА"," + быстрый","")&amp;IF(BD4="ДА"," + optimal",""),IF(BC4="ДА","самый быстрый"&amp;IF(BD4="ДА"," + optimal",""),IF(BD4="ДА","optimal","Допущен"))))))))))</f>
        <v/>
      </c>
      <c r="BF4" s="25">
        <f>ROW()</f>
        <v>4</v>
      </c>
      <c r="BG4" s="33"/>
      <c r="BH4" s="33"/>
      <c r="BI4" s="33"/>
      <c r="BJ4" s="33"/>
      <c r="BK4" s="33"/>
      <c r="BL4" s="34"/>
      <c r="BM4" s="33"/>
      <c r="BN4" s="35" t="str">
        <f t="shared" ref="BN4:BN35" si="16">IF(BG4+BH4=0,"",IF(BG4+BH4&lt;&gt;D4,"⚠ SIM+eSIM≠Доступно","OK"))</f>
        <v/>
      </c>
      <c r="BO4" s="36" t="str">
        <f t="shared" ref="BO4:BO35" si="17">IF($C4="","",IF(TRIM(IF(O4&lt;&gt;"Да","⚠Ввоз ","")&amp;IF(P4&lt;&gt;"Да","⚠Документы ","")&amp;IF(AND(BG4+BH4&gt;0,D4&gt;0,BG4+BH4&lt;&gt;D4),"⚠SIM/eSIM ","")&amp;IF(BZ4&lt;&gt;"ПОЛНО","⚠НеполнаяФорма ",""))="","OK",TRIM(IF(O4&lt;&gt;"Да","⚠Ввоз ","")&amp;IF(P4&lt;&gt;"Да","⚠Документы ","")&amp;IF(AND(BG4+BH4&gt;0,D4&gt;0,BG4+BH4&lt;&gt;D4),"⚠SIM/eSIM ","")&amp;IF(BZ4&lt;&gt;"ПОЛНО","⚠НеполнаяФорма ",""))))</f>
        <v/>
      </c>
      <c r="BP4" s="37"/>
      <c r="BQ4" s="38"/>
      <c r="BR4" s="13"/>
      <c r="BS4" s="13"/>
      <c r="BT4" s="13"/>
      <c r="BU4" s="13"/>
      <c r="BV4" s="13"/>
      <c r="BW4" s="13"/>
      <c r="BX4" s="39" t="str">
        <f t="shared" ref="BX4:BX35" si="18">IF(OR(BV4&lt;&gt;"",BW4&lt;&gt;""),"Да","")</f>
        <v/>
      </c>
      <c r="BY4" s="47"/>
      <c r="BZ4" s="48" t="str">
        <f t="shared" ref="BZ4:BZ35" si="19">IF(A4="","",IF(AND(BT4&lt;&gt;"",BJ4&lt;&gt;"",CA4&lt;&gt;"",BK4&lt;&gt;"",OR(BG4&lt;&gt;"",BH4&lt;&gt;""),BM4&lt;&gt;""),"ПОЛНО","НЕПОЛНО"))</f>
        <v/>
      </c>
      <c r="CA4" s="47"/>
      <c r="CB4" s="47"/>
      <c r="CC4" s="47"/>
    </row>
    <row r="5" spans="1:81" ht="14.25" x14ac:dyDescent="0.45">
      <c r="A5" s="10"/>
      <c r="B5" s="10"/>
      <c r="C5" s="10"/>
      <c r="D5" s="10"/>
      <c r="E5" s="10"/>
      <c r="F5" s="10"/>
      <c r="G5" s="10"/>
      <c r="H5" s="25" t="str">
        <f>IFERROR(VLOOKUP(C5,'01_Поставщики'!$A$4:$M$11,2,FALSE()),"")</f>
        <v/>
      </c>
      <c r="I5" s="10"/>
      <c r="J5" s="25" t="str">
        <f>IFERROR(VLOOKUP(C5,'01_Поставщики'!$A$4:$M$11,8,FALSE()),"")</f>
        <v/>
      </c>
      <c r="K5" s="25" t="str">
        <f>IFERROR(VLOOKUP(C5,'01_Поставщики'!$A$4:$M$11,4,FALSE()),"")</f>
        <v/>
      </c>
      <c r="L5" s="25" t="str">
        <f>IFERROR(VLOOKUP(C5,'01_Поставщики'!$A$4:$M$11,10,FALSE()),"")</f>
        <v/>
      </c>
      <c r="M5" s="26" t="str">
        <f>IF(OR(A5="",B5=""),"",IFERROR(SUMIFS('04_Потребность'!$B$4:$B$103,'04_Потребность'!$A$4:$A$103,A5,'04_Потребность'!$C$4:$C$103,B5),0))</f>
        <v/>
      </c>
      <c r="N5" s="11"/>
      <c r="O5" s="10"/>
      <c r="P5" s="10"/>
      <c r="Q5" s="27"/>
      <c r="R5" s="27"/>
      <c r="S5" s="8"/>
      <c r="T5" s="8">
        <f>IFERROR(INDEX('02_Схемы оплаты'!$C$4:$C$19,MATCH($C5&amp;"|"&amp;$G5,'02_Схемы оплаты'!$H$4:$H$19,0)),0)</f>
        <v>0</v>
      </c>
      <c r="U5" s="11"/>
      <c r="V5" s="28"/>
      <c r="W5" s="8"/>
      <c r="X5" s="8">
        <f>IFERROR(INDEX('02_Схемы оплаты'!$D$4:$D$19,MATCH($C5&amp;"|"&amp;$G5,'02_Схемы оплаты'!$H$4:$H$19,0)),0)</f>
        <v>0</v>
      </c>
      <c r="Y5" s="11"/>
      <c r="Z5" s="28"/>
      <c r="AA5" s="8"/>
      <c r="AB5" s="8">
        <f>IFERROR(INDEX('02_Схемы оплаты'!$E$4:$E$19,MATCH($C5&amp;"|"&amp;$G5,'02_Схемы оплаты'!$H$4:$H$19,0)),0)</f>
        <v>0</v>
      </c>
      <c r="AC5" s="11"/>
      <c r="AD5" s="28"/>
      <c r="AE5" s="8"/>
      <c r="AF5" s="10"/>
      <c r="AG5" s="10"/>
      <c r="AH5" s="25">
        <f>IFERROR(SUMIFS('04_Потребность'!$D$4:$D$103,'04_Потребность'!$A$4:$A$103,A5,'04_Потребность'!$C$4:$C$103,B5),0)</f>
        <v>0</v>
      </c>
      <c r="AI5" s="26" t="str">
        <f>IF(OR(A5="",B5=""),"",IFERROR(SUMIFS('04_Потребность'!$E$4:$E$103,'04_Потребность'!$A$4:$A$103,A5,'04_Потребность'!$C$4:$C$103,B5),0))</f>
        <v/>
      </c>
      <c r="AJ5" s="25" t="str">
        <f>IF(OR(A5="",B5=""),"",IFERROR(SUMIFS('04_Потребность'!$F$4:$F$103,'04_Потребность'!$A$4:$A$103,A5,'04_Потребность'!$C$4:$C$103,B5),0))</f>
        <v/>
      </c>
      <c r="AK5" s="29" t="str">
        <f>IF(OR(A5="",B5=""),"",IFERROR(SUMIFS('04_Потребность'!$G$4:$G$103,'04_Потребность'!$A$4:$A$103,A5,'04_Потребность'!$C$4:$C$103,B5),0))</f>
        <v/>
      </c>
      <c r="AL5" s="25" t="str">
        <f>IF('03_Настройки'!$B$7="Нет","Нет",IF(COUNTIFS('04_Потребность'!$A$4:$A$103,A5,'04_Потребность'!$C$4:$C$103,B5,'04_Потребность'!$H$4:$H$103,"Да")&gt;0,"Да","Нет"))</f>
        <v>Нет</v>
      </c>
      <c r="AM5" s="30">
        <f t="shared" si="0"/>
        <v>0</v>
      </c>
      <c r="AN5" s="30">
        <f t="shared" si="1"/>
        <v>0</v>
      </c>
      <c r="AO5" s="29">
        <f t="shared" si="2"/>
        <v>0</v>
      </c>
      <c r="AP5" s="29">
        <f t="shared" si="3"/>
        <v>0</v>
      </c>
      <c r="AQ5" s="29">
        <f t="shared" si="4"/>
        <v>0</v>
      </c>
      <c r="AR5" s="29">
        <f>IFERROR(E5*'03_Настройки'!$B$4/365*(IF(T5&gt;0,T5*V5*(1+W5)*MAX(0,N5-U5),0)+IF(X5&gt;0,X5*Z5*(1+AA5)*MAX(0,N5-Y5),0)+IF(AB5&gt;0,AB5*AD5*(1+AE5)*MAX(0,N5-AC5),0)),0)</f>
        <v>0</v>
      </c>
      <c r="AS5" s="29">
        <f t="shared" si="5"/>
        <v>0</v>
      </c>
      <c r="AT5" s="31">
        <f t="shared" si="6"/>
        <v>0</v>
      </c>
      <c r="AU5" s="31">
        <f t="shared" si="7"/>
        <v>0</v>
      </c>
      <c r="AV5" s="32">
        <f t="shared" si="8"/>
        <v>0</v>
      </c>
      <c r="AW5" s="29" t="e">
        <f t="shared" si="9"/>
        <v>#VALUE!</v>
      </c>
      <c r="AX5" s="29">
        <f t="shared" si="10"/>
        <v>0</v>
      </c>
      <c r="AY5" s="29" t="e">
        <f t="shared" si="11"/>
        <v>#VALUE!</v>
      </c>
      <c r="AZ5" s="25" t="str">
        <f>IF(AND(A5&lt;&gt;"",B5&lt;&gt;"",C5&lt;&gt;"",D5&gt;0,E5&gt;0,N5&lt;&gt;"",AH5&gt;0,O5="Да",P5="Да",BZ5="ПОЛНО",ABS(AN5-1)&lt;='03_Настройки'!$B$5,IF(T5&gt;0,AND(U5&lt;&gt;"",V5&gt;0),TRUE()),IF(X5&gt;0,AND(Y5&lt;&gt;"",Z5&gt;0),TRUE()),IF(AB5&gt;0,AND(AC5&lt;&gt;"",AD5&gt;0),TRUE()),OR(BM5="",BM5="Активна")),"Да","Нет")</f>
        <v>Нет</v>
      </c>
      <c r="BA5" s="25" t="str">
        <f t="shared" si="12"/>
        <v>Нет</v>
      </c>
      <c r="BB5" s="25" t="str">
        <f t="shared" si="13"/>
        <v/>
      </c>
      <c r="BC5" s="25" t="str">
        <f t="shared" si="14"/>
        <v/>
      </c>
      <c r="BD5" s="25" t="str">
        <f t="shared" si="15"/>
        <v/>
      </c>
      <c r="BE5" s="25" t="str">
        <f>IF(A5="","",IF(BZ5&lt;&gt;"ПОЛНО","BLOCK: неполная форма",IF(O5&lt;&gt;"Да","BLOCK: ввоз не разрешён",IF(P5&lt;&gt;"Да","BLOCK: документы не подтверждены",IF(ABS(AN5-1)&gt;'03_Настройки'!$B$5,"BLOCK: платежи не 100%",IF(AND(BM5&lt;&gt;"",BM5&lt;&gt;"Активна"),"BLOCK: позиция "&amp;BM5,IF(BA5&lt;&gt;"Да","PARTIAL: не покрывает потребность",IF(BB5="ДА","самый дешёвый"&amp;IF(BC5="ДА"," + быстрый","")&amp;IF(BD5="ДА"," + optimal",""),IF(BC5="ДА","самый быстрый"&amp;IF(BD5="ДА"," + optimal",""),IF(BD5="ДА","optimal","Допущен"))))))))))</f>
        <v/>
      </c>
      <c r="BF5" s="25">
        <f>ROW()</f>
        <v>5</v>
      </c>
      <c r="BG5" s="33"/>
      <c r="BH5" s="33"/>
      <c r="BI5" s="33"/>
      <c r="BJ5" s="33"/>
      <c r="BK5" s="33"/>
      <c r="BL5" s="34"/>
      <c r="BM5" s="33"/>
      <c r="BN5" s="35" t="str">
        <f t="shared" si="16"/>
        <v/>
      </c>
      <c r="BO5" s="36" t="str">
        <f t="shared" si="17"/>
        <v/>
      </c>
      <c r="BP5" s="33"/>
      <c r="BQ5" s="38"/>
      <c r="BR5" s="13"/>
      <c r="BS5" s="13"/>
      <c r="BT5" s="13"/>
      <c r="BU5" s="13"/>
      <c r="BV5" s="13"/>
      <c r="BW5" s="13"/>
      <c r="BX5" s="39" t="str">
        <f t="shared" si="18"/>
        <v/>
      </c>
      <c r="BY5" s="47"/>
      <c r="BZ5" s="48" t="str">
        <f t="shared" si="19"/>
        <v/>
      </c>
      <c r="CA5" s="47"/>
      <c r="CB5" s="47"/>
      <c r="CC5" s="47"/>
    </row>
    <row r="6" spans="1:81" ht="14.25" x14ac:dyDescent="0.45">
      <c r="A6" s="10"/>
      <c r="B6" s="10"/>
      <c r="C6" s="10"/>
      <c r="D6" s="10"/>
      <c r="E6" s="10"/>
      <c r="F6" s="10"/>
      <c r="G6" s="10"/>
      <c r="H6" s="25" t="str">
        <f>IFERROR(VLOOKUP(C6,'01_Поставщики'!$A$4:$M$11,2,FALSE()),"")</f>
        <v/>
      </c>
      <c r="I6" s="10"/>
      <c r="J6" s="25" t="str">
        <f>IFERROR(VLOOKUP(C6,'01_Поставщики'!$A$4:$M$11,8,FALSE()),"")</f>
        <v/>
      </c>
      <c r="K6" s="25" t="str">
        <f>IFERROR(VLOOKUP(C6,'01_Поставщики'!$A$4:$M$11,4,FALSE()),"")</f>
        <v/>
      </c>
      <c r="L6" s="25" t="str">
        <f>IFERROR(VLOOKUP(C6,'01_Поставщики'!$A$4:$M$11,10,FALSE()),"")</f>
        <v/>
      </c>
      <c r="M6" s="26" t="str">
        <f>IF(OR(A6="",B6=""),"",IFERROR(SUMIFS('04_Потребность'!$B$4:$B$103,'04_Потребность'!$A$4:$A$103,A6,'04_Потребность'!$C$4:$C$103,B6),0))</f>
        <v/>
      </c>
      <c r="N6" s="11"/>
      <c r="O6" s="10"/>
      <c r="P6" s="10"/>
      <c r="Q6" s="27"/>
      <c r="R6" s="27"/>
      <c r="S6" s="8"/>
      <c r="T6" s="8">
        <f>IFERROR(INDEX('02_Схемы оплаты'!$C$4:$C$19,MATCH($C6&amp;"|"&amp;$G6,'02_Схемы оплаты'!$H$4:$H$19,0)),0)</f>
        <v>0</v>
      </c>
      <c r="U6" s="11"/>
      <c r="V6" s="28"/>
      <c r="W6" s="8"/>
      <c r="X6" s="8">
        <f>IFERROR(INDEX('02_Схемы оплаты'!$D$4:$D$19,MATCH($C6&amp;"|"&amp;$G6,'02_Схемы оплаты'!$H$4:$H$19,0)),0)</f>
        <v>0</v>
      </c>
      <c r="Y6" s="11"/>
      <c r="Z6" s="28"/>
      <c r="AA6" s="8"/>
      <c r="AB6" s="8">
        <f>IFERROR(INDEX('02_Схемы оплаты'!$E$4:$E$19,MATCH($C6&amp;"|"&amp;$G6,'02_Схемы оплаты'!$H$4:$H$19,0)),0)</f>
        <v>0</v>
      </c>
      <c r="AC6" s="11"/>
      <c r="AD6" s="28"/>
      <c r="AE6" s="8"/>
      <c r="AF6" s="10"/>
      <c r="AG6" s="10"/>
      <c r="AH6" s="25">
        <f>IFERROR(SUMIFS('04_Потребность'!$D$4:$D$103,'04_Потребность'!$A$4:$A$103,A6,'04_Потребность'!$C$4:$C$103,B6),0)</f>
        <v>0</v>
      </c>
      <c r="AI6" s="26" t="str">
        <f>IF(OR(A6="",B6=""),"",IFERROR(SUMIFS('04_Потребность'!$E$4:$E$103,'04_Потребность'!$A$4:$A$103,A6,'04_Потребность'!$C$4:$C$103,B6),0))</f>
        <v/>
      </c>
      <c r="AJ6" s="25" t="str">
        <f>IF(OR(A6="",B6=""),"",IFERROR(SUMIFS('04_Потребность'!$F$4:$F$103,'04_Потребность'!$A$4:$A$103,A6,'04_Потребность'!$C$4:$C$103,B6),0))</f>
        <v/>
      </c>
      <c r="AK6" s="29" t="str">
        <f>IF(OR(A6="",B6=""),"",IFERROR(SUMIFS('04_Потребность'!$G$4:$G$103,'04_Потребность'!$A$4:$A$103,A6,'04_Потребность'!$C$4:$C$103,B6),0))</f>
        <v/>
      </c>
      <c r="AL6" s="25" t="str">
        <f>IF('03_Настройки'!$B$7="Нет","Нет",IF(COUNTIFS('04_Потребность'!$A$4:$A$103,A6,'04_Потребность'!$C$4:$C$103,B6,'04_Потребность'!$H$4:$H$103,"Да")&gt;0,"Да","Нет"))</f>
        <v>Нет</v>
      </c>
      <c r="AM6" s="30">
        <f t="shared" si="0"/>
        <v>0</v>
      </c>
      <c r="AN6" s="30">
        <f t="shared" si="1"/>
        <v>0</v>
      </c>
      <c r="AO6" s="29">
        <f t="shared" si="2"/>
        <v>0</v>
      </c>
      <c r="AP6" s="29">
        <f t="shared" si="3"/>
        <v>0</v>
      </c>
      <c r="AQ6" s="29">
        <f t="shared" si="4"/>
        <v>0</v>
      </c>
      <c r="AR6" s="29">
        <f>IFERROR(E6*'03_Настройки'!$B$4/365*(IF(T6&gt;0,T6*V6*(1+W6)*MAX(0,N6-U6),0)+IF(X6&gt;0,X6*Z6*(1+AA6)*MAX(0,N6-Y6),0)+IF(AB6&gt;0,AB6*AD6*(1+AE6)*MAX(0,N6-AC6),0)),0)</f>
        <v>0</v>
      </c>
      <c r="AS6" s="29">
        <f t="shared" si="5"/>
        <v>0</v>
      </c>
      <c r="AT6" s="31">
        <f t="shared" si="6"/>
        <v>0</v>
      </c>
      <c r="AU6" s="31">
        <f t="shared" si="7"/>
        <v>0</v>
      </c>
      <c r="AV6" s="32">
        <f t="shared" si="8"/>
        <v>0</v>
      </c>
      <c r="AW6" s="29" t="e">
        <f t="shared" si="9"/>
        <v>#VALUE!</v>
      </c>
      <c r="AX6" s="29">
        <f t="shared" si="10"/>
        <v>0</v>
      </c>
      <c r="AY6" s="29" t="e">
        <f t="shared" si="11"/>
        <v>#VALUE!</v>
      </c>
      <c r="AZ6" s="25" t="str">
        <f>IF(AND(A6&lt;&gt;"",B6&lt;&gt;"",C6&lt;&gt;"",D6&gt;0,E6&gt;0,N6&lt;&gt;"",AH6&gt;0,O6="Да",P6="Да",BZ6="ПОЛНО",ABS(AN6-1)&lt;='03_Настройки'!$B$5,IF(T6&gt;0,AND(U6&lt;&gt;"",V6&gt;0),TRUE()),IF(X6&gt;0,AND(Y6&lt;&gt;"",Z6&gt;0),TRUE()),IF(AB6&gt;0,AND(AC6&lt;&gt;"",AD6&gt;0),TRUE()),OR(BM6="",BM6="Активна")),"Да","Нет")</f>
        <v>Нет</v>
      </c>
      <c r="BA6" s="25" t="str">
        <f t="shared" si="12"/>
        <v>Нет</v>
      </c>
      <c r="BB6" s="25" t="str">
        <f t="shared" si="13"/>
        <v/>
      </c>
      <c r="BC6" s="25" t="str">
        <f t="shared" si="14"/>
        <v/>
      </c>
      <c r="BD6" s="25" t="str">
        <f t="shared" si="15"/>
        <v/>
      </c>
      <c r="BE6" s="25" t="str">
        <f>IF(A6="","",IF(BZ6&lt;&gt;"ПОЛНО","BLOCK: неполная форма",IF(O6&lt;&gt;"Да","BLOCK: ввоз не разрешён",IF(P6&lt;&gt;"Да","BLOCK: документы не подтверждены",IF(ABS(AN6-1)&gt;'03_Настройки'!$B$5,"BLOCK: платежи не 100%",IF(AND(BM6&lt;&gt;"",BM6&lt;&gt;"Активна"),"BLOCK: позиция "&amp;BM6,IF(BA6&lt;&gt;"Да","PARTIAL: не покрывает потребность",IF(BB6="ДА","самый дешёвый"&amp;IF(BC6="ДА"," + быстрый","")&amp;IF(BD6="ДА"," + optimal",""),IF(BC6="ДА","самый быстрый"&amp;IF(BD6="ДА"," + optimal",""),IF(BD6="ДА","optimal","Допущен"))))))))))</f>
        <v/>
      </c>
      <c r="BF6" s="25">
        <f>ROW()</f>
        <v>6</v>
      </c>
      <c r="BG6" s="33"/>
      <c r="BH6" s="33"/>
      <c r="BI6" s="33"/>
      <c r="BJ6" s="33"/>
      <c r="BK6" s="33"/>
      <c r="BL6" s="34"/>
      <c r="BM6" s="33"/>
      <c r="BN6" s="35" t="str">
        <f t="shared" si="16"/>
        <v/>
      </c>
      <c r="BO6" s="36" t="str">
        <f t="shared" si="17"/>
        <v/>
      </c>
      <c r="BP6" s="33"/>
      <c r="BQ6" s="38"/>
      <c r="BR6" s="13"/>
      <c r="BS6" s="13"/>
      <c r="BT6" s="13"/>
      <c r="BU6" s="13"/>
      <c r="BV6" s="13"/>
      <c r="BW6" s="13"/>
      <c r="BX6" s="39" t="str">
        <f t="shared" si="18"/>
        <v/>
      </c>
      <c r="BY6" s="47"/>
      <c r="BZ6" s="48" t="str">
        <f t="shared" si="19"/>
        <v/>
      </c>
      <c r="CA6" s="47"/>
      <c r="CB6" s="47"/>
      <c r="CC6" s="47"/>
    </row>
    <row r="7" spans="1:81" ht="14.25" x14ac:dyDescent="0.45">
      <c r="A7" s="10"/>
      <c r="B7" s="10"/>
      <c r="C7" s="10"/>
      <c r="D7" s="10"/>
      <c r="E7" s="10"/>
      <c r="F7" s="10"/>
      <c r="G7" s="10"/>
      <c r="H7" s="25" t="str">
        <f>IFERROR(VLOOKUP(C7,'01_Поставщики'!$A$4:$M$11,2,FALSE()),"")</f>
        <v/>
      </c>
      <c r="I7" s="10"/>
      <c r="J7" s="25" t="str">
        <f>IFERROR(VLOOKUP(C7,'01_Поставщики'!$A$4:$M$11,8,FALSE()),"")</f>
        <v/>
      </c>
      <c r="K7" s="25" t="str">
        <f>IFERROR(VLOOKUP(C7,'01_Поставщики'!$A$4:$M$11,4,FALSE()),"")</f>
        <v/>
      </c>
      <c r="L7" s="25" t="str">
        <f>IFERROR(VLOOKUP(C7,'01_Поставщики'!$A$4:$M$11,10,FALSE()),"")</f>
        <v/>
      </c>
      <c r="M7" s="26" t="str">
        <f>IF(OR(A7="",B7=""),"",IFERROR(SUMIFS('04_Потребность'!$B$4:$B$103,'04_Потребность'!$A$4:$A$103,A7,'04_Потребность'!$C$4:$C$103,B7),0))</f>
        <v/>
      </c>
      <c r="N7" s="11"/>
      <c r="O7" s="10"/>
      <c r="P7" s="10"/>
      <c r="Q7" s="27"/>
      <c r="R7" s="27"/>
      <c r="S7" s="8"/>
      <c r="T7" s="8">
        <f>IFERROR(INDEX('02_Схемы оплаты'!$C$4:$C$19,MATCH($C7&amp;"|"&amp;$G7,'02_Схемы оплаты'!$H$4:$H$19,0)),0)</f>
        <v>0</v>
      </c>
      <c r="U7" s="11"/>
      <c r="V7" s="28"/>
      <c r="W7" s="8"/>
      <c r="X7" s="8">
        <f>IFERROR(INDEX('02_Схемы оплаты'!$D$4:$D$19,MATCH($C7&amp;"|"&amp;$G7,'02_Схемы оплаты'!$H$4:$H$19,0)),0)</f>
        <v>0</v>
      </c>
      <c r="Y7" s="11"/>
      <c r="Z7" s="28"/>
      <c r="AA7" s="8"/>
      <c r="AB7" s="8">
        <f>IFERROR(INDEX('02_Схемы оплаты'!$E$4:$E$19,MATCH($C7&amp;"|"&amp;$G7,'02_Схемы оплаты'!$H$4:$H$19,0)),0)</f>
        <v>0</v>
      </c>
      <c r="AC7" s="11"/>
      <c r="AD7" s="28"/>
      <c r="AE7" s="8"/>
      <c r="AF7" s="10"/>
      <c r="AG7" s="10"/>
      <c r="AH7" s="25">
        <f>IFERROR(SUMIFS('04_Потребность'!$D$4:$D$103,'04_Потребность'!$A$4:$A$103,A7,'04_Потребность'!$C$4:$C$103,B7),0)</f>
        <v>0</v>
      </c>
      <c r="AI7" s="26" t="str">
        <f>IF(OR(A7="",B7=""),"",IFERROR(SUMIFS('04_Потребность'!$E$4:$E$103,'04_Потребность'!$A$4:$A$103,A7,'04_Потребность'!$C$4:$C$103,B7),0))</f>
        <v/>
      </c>
      <c r="AJ7" s="25" t="str">
        <f>IF(OR(A7="",B7=""),"",IFERROR(SUMIFS('04_Потребность'!$F$4:$F$103,'04_Потребность'!$A$4:$A$103,A7,'04_Потребность'!$C$4:$C$103,B7),0))</f>
        <v/>
      </c>
      <c r="AK7" s="29" t="str">
        <f>IF(OR(A7="",B7=""),"",IFERROR(SUMIFS('04_Потребность'!$G$4:$G$103,'04_Потребность'!$A$4:$A$103,A7,'04_Потребность'!$C$4:$C$103,B7),0))</f>
        <v/>
      </c>
      <c r="AL7" s="25" t="str">
        <f>IF('03_Настройки'!$B$7="Нет","Нет",IF(COUNTIFS('04_Потребность'!$A$4:$A$103,A7,'04_Потребность'!$C$4:$C$103,B7,'04_Потребность'!$H$4:$H$103,"Да")&gt;0,"Да","Нет"))</f>
        <v>Нет</v>
      </c>
      <c r="AM7" s="30">
        <f t="shared" si="0"/>
        <v>0</v>
      </c>
      <c r="AN7" s="30">
        <f t="shared" si="1"/>
        <v>0</v>
      </c>
      <c r="AO7" s="29">
        <f t="shared" si="2"/>
        <v>0</v>
      </c>
      <c r="AP7" s="29">
        <f t="shared" si="3"/>
        <v>0</v>
      </c>
      <c r="AQ7" s="29">
        <f t="shared" si="4"/>
        <v>0</v>
      </c>
      <c r="AR7" s="29">
        <f>IFERROR(E7*'03_Настройки'!$B$4/365*(IF(T7&gt;0,T7*V7*(1+W7)*MAX(0,N7-U7),0)+IF(X7&gt;0,X7*Z7*(1+AA7)*MAX(0,N7-Y7),0)+IF(AB7&gt;0,AB7*AD7*(1+AE7)*MAX(0,N7-AC7),0)),0)</f>
        <v>0</v>
      </c>
      <c r="AS7" s="29">
        <f t="shared" si="5"/>
        <v>0</v>
      </c>
      <c r="AT7" s="31">
        <f t="shared" si="6"/>
        <v>0</v>
      </c>
      <c r="AU7" s="31">
        <f t="shared" si="7"/>
        <v>0</v>
      </c>
      <c r="AV7" s="32">
        <f t="shared" si="8"/>
        <v>0</v>
      </c>
      <c r="AW7" s="29" t="e">
        <f t="shared" si="9"/>
        <v>#VALUE!</v>
      </c>
      <c r="AX7" s="29">
        <f t="shared" si="10"/>
        <v>0</v>
      </c>
      <c r="AY7" s="29" t="e">
        <f t="shared" si="11"/>
        <v>#VALUE!</v>
      </c>
      <c r="AZ7" s="25" t="str">
        <f>IF(AND(A7&lt;&gt;"",B7&lt;&gt;"",C7&lt;&gt;"",D7&gt;0,E7&gt;0,N7&lt;&gt;"",AH7&gt;0,O7="Да",P7="Да",BZ7="ПОЛНО",ABS(AN7-1)&lt;='03_Настройки'!$B$5,IF(T7&gt;0,AND(U7&lt;&gt;"",V7&gt;0),TRUE()),IF(X7&gt;0,AND(Y7&lt;&gt;"",Z7&gt;0),TRUE()),IF(AB7&gt;0,AND(AC7&lt;&gt;"",AD7&gt;0),TRUE()),OR(BM7="",BM7="Активна")),"Да","Нет")</f>
        <v>Нет</v>
      </c>
      <c r="BA7" s="25" t="str">
        <f t="shared" si="12"/>
        <v>Нет</v>
      </c>
      <c r="BB7" s="25" t="str">
        <f t="shared" si="13"/>
        <v/>
      </c>
      <c r="BC7" s="25" t="str">
        <f t="shared" si="14"/>
        <v/>
      </c>
      <c r="BD7" s="25" t="str">
        <f t="shared" si="15"/>
        <v/>
      </c>
      <c r="BE7" s="25" t="str">
        <f>IF(A7="","",IF(BZ7&lt;&gt;"ПОЛНО","BLOCK: неполная форма",IF(O7&lt;&gt;"Да","BLOCK: ввоз не разрешён",IF(P7&lt;&gt;"Да","BLOCK: документы не подтверждены",IF(ABS(AN7-1)&gt;'03_Настройки'!$B$5,"BLOCK: платежи не 100%",IF(AND(BM7&lt;&gt;"",BM7&lt;&gt;"Активна"),"BLOCK: позиция "&amp;BM7,IF(BA7&lt;&gt;"Да","PARTIAL: не покрывает потребность",IF(BB7="ДА","самый дешёвый"&amp;IF(BC7="ДА"," + быстрый","")&amp;IF(BD7="ДА"," + optimal",""),IF(BC7="ДА","самый быстрый"&amp;IF(BD7="ДА"," + optimal",""),IF(BD7="ДА","optimal","Допущен"))))))))))</f>
        <v/>
      </c>
      <c r="BF7" s="25">
        <f>ROW()</f>
        <v>7</v>
      </c>
      <c r="BG7" s="33"/>
      <c r="BH7" s="33"/>
      <c r="BI7" s="33"/>
      <c r="BJ7" s="33"/>
      <c r="BK7" s="33"/>
      <c r="BL7" s="34"/>
      <c r="BM7" s="33"/>
      <c r="BN7" s="35" t="str">
        <f t="shared" si="16"/>
        <v/>
      </c>
      <c r="BO7" s="36" t="str">
        <f t="shared" si="17"/>
        <v/>
      </c>
      <c r="BP7" s="33"/>
      <c r="BQ7" s="38"/>
      <c r="BR7" s="13"/>
      <c r="BS7" s="13"/>
      <c r="BT7" s="13"/>
      <c r="BU7" s="13"/>
      <c r="BV7" s="13"/>
      <c r="BW7" s="13"/>
      <c r="BX7" s="39" t="str">
        <f t="shared" si="18"/>
        <v/>
      </c>
      <c r="BY7" s="47"/>
      <c r="BZ7" s="48" t="str">
        <f t="shared" si="19"/>
        <v/>
      </c>
      <c r="CA7" s="47"/>
      <c r="CB7" s="47"/>
      <c r="CC7" s="47"/>
    </row>
    <row r="8" spans="1:81" ht="14.25" x14ac:dyDescent="0.45">
      <c r="A8" s="10"/>
      <c r="B8" s="10"/>
      <c r="C8" s="10"/>
      <c r="D8" s="10"/>
      <c r="E8" s="10"/>
      <c r="F8" s="10"/>
      <c r="G8" s="10"/>
      <c r="H8" s="25" t="str">
        <f>IFERROR(VLOOKUP(C8,'01_Поставщики'!$A$4:$M$11,2,FALSE()),"")</f>
        <v/>
      </c>
      <c r="I8" s="10"/>
      <c r="J8" s="25" t="str">
        <f>IFERROR(VLOOKUP(C8,'01_Поставщики'!$A$4:$M$11,8,FALSE()),"")</f>
        <v/>
      </c>
      <c r="K8" s="25" t="str">
        <f>IFERROR(VLOOKUP(C8,'01_Поставщики'!$A$4:$M$11,4,FALSE()),"")</f>
        <v/>
      </c>
      <c r="L8" s="25" t="str">
        <f>IFERROR(VLOOKUP(C8,'01_Поставщики'!$A$4:$M$11,10,FALSE()),"")</f>
        <v/>
      </c>
      <c r="M8" s="26" t="str">
        <f>IF(OR(A8="",B8=""),"",IFERROR(SUMIFS('04_Потребность'!$B$4:$B$103,'04_Потребность'!$A$4:$A$103,A8,'04_Потребность'!$C$4:$C$103,B8),0))</f>
        <v/>
      </c>
      <c r="N8" s="11"/>
      <c r="O8" s="10"/>
      <c r="P8" s="10"/>
      <c r="Q8" s="27"/>
      <c r="R8" s="27"/>
      <c r="S8" s="8"/>
      <c r="T8" s="8">
        <f>IFERROR(INDEX('02_Схемы оплаты'!$C$4:$C$19,MATCH($C8&amp;"|"&amp;$G8,'02_Схемы оплаты'!$H$4:$H$19,0)),0)</f>
        <v>0</v>
      </c>
      <c r="U8" s="11"/>
      <c r="V8" s="28"/>
      <c r="W8" s="8"/>
      <c r="X8" s="8">
        <f>IFERROR(INDEX('02_Схемы оплаты'!$D$4:$D$19,MATCH($C8&amp;"|"&amp;$G8,'02_Схемы оплаты'!$H$4:$H$19,0)),0)</f>
        <v>0</v>
      </c>
      <c r="Y8" s="11"/>
      <c r="Z8" s="28"/>
      <c r="AA8" s="8"/>
      <c r="AB8" s="8">
        <f>IFERROR(INDEX('02_Схемы оплаты'!$E$4:$E$19,MATCH($C8&amp;"|"&amp;$G8,'02_Схемы оплаты'!$H$4:$H$19,0)),0)</f>
        <v>0</v>
      </c>
      <c r="AC8" s="11"/>
      <c r="AD8" s="28"/>
      <c r="AE8" s="8"/>
      <c r="AF8" s="10"/>
      <c r="AG8" s="10"/>
      <c r="AH8" s="25">
        <f>IFERROR(SUMIFS('04_Потребность'!$D$4:$D$103,'04_Потребность'!$A$4:$A$103,A8,'04_Потребность'!$C$4:$C$103,B8),0)</f>
        <v>0</v>
      </c>
      <c r="AI8" s="26" t="str">
        <f>IF(OR(A8="",B8=""),"",IFERROR(SUMIFS('04_Потребность'!$E$4:$E$103,'04_Потребность'!$A$4:$A$103,A8,'04_Потребность'!$C$4:$C$103,B8),0))</f>
        <v/>
      </c>
      <c r="AJ8" s="25" t="str">
        <f>IF(OR(A8="",B8=""),"",IFERROR(SUMIFS('04_Потребность'!$F$4:$F$103,'04_Потребность'!$A$4:$A$103,A8,'04_Потребность'!$C$4:$C$103,B8),0))</f>
        <v/>
      </c>
      <c r="AK8" s="29" t="str">
        <f>IF(OR(A8="",B8=""),"",IFERROR(SUMIFS('04_Потребность'!$G$4:$G$103,'04_Потребность'!$A$4:$A$103,A8,'04_Потребность'!$C$4:$C$103,B8),0))</f>
        <v/>
      </c>
      <c r="AL8" s="25" t="str">
        <f>IF('03_Настройки'!$B$7="Нет","Нет",IF(COUNTIFS('04_Потребность'!$A$4:$A$103,A8,'04_Потребность'!$C$4:$C$103,B8,'04_Потребность'!$H$4:$H$103,"Да")&gt;0,"Да","Нет"))</f>
        <v>Нет</v>
      </c>
      <c r="AM8" s="30">
        <f t="shared" si="0"/>
        <v>0</v>
      </c>
      <c r="AN8" s="30">
        <f t="shared" si="1"/>
        <v>0</v>
      </c>
      <c r="AO8" s="29">
        <f t="shared" si="2"/>
        <v>0</v>
      </c>
      <c r="AP8" s="29">
        <f t="shared" si="3"/>
        <v>0</v>
      </c>
      <c r="AQ8" s="29">
        <f t="shared" si="4"/>
        <v>0</v>
      </c>
      <c r="AR8" s="29">
        <f>IFERROR(E8*'03_Настройки'!$B$4/365*(IF(T8&gt;0,T8*V8*(1+W8)*MAX(0,N8-U8),0)+IF(X8&gt;0,X8*Z8*(1+AA8)*MAX(0,N8-Y8),0)+IF(AB8&gt;0,AB8*AD8*(1+AE8)*MAX(0,N8-AC8),0)),0)</f>
        <v>0</v>
      </c>
      <c r="AS8" s="29">
        <f t="shared" si="5"/>
        <v>0</v>
      </c>
      <c r="AT8" s="31">
        <f t="shared" si="6"/>
        <v>0</v>
      </c>
      <c r="AU8" s="31">
        <f t="shared" si="7"/>
        <v>0</v>
      </c>
      <c r="AV8" s="32">
        <f t="shared" si="8"/>
        <v>0</v>
      </c>
      <c r="AW8" s="29" t="e">
        <f t="shared" si="9"/>
        <v>#VALUE!</v>
      </c>
      <c r="AX8" s="29">
        <f t="shared" si="10"/>
        <v>0</v>
      </c>
      <c r="AY8" s="29" t="e">
        <f t="shared" si="11"/>
        <v>#VALUE!</v>
      </c>
      <c r="AZ8" s="25" t="str">
        <f>IF(AND(A8&lt;&gt;"",B8&lt;&gt;"",C8&lt;&gt;"",D8&gt;0,E8&gt;0,N8&lt;&gt;"",AH8&gt;0,O8="Да",P8="Да",BZ8="ПОЛНО",ABS(AN8-1)&lt;='03_Настройки'!$B$5,IF(T8&gt;0,AND(U8&lt;&gt;"",V8&gt;0),TRUE()),IF(X8&gt;0,AND(Y8&lt;&gt;"",Z8&gt;0),TRUE()),IF(AB8&gt;0,AND(AC8&lt;&gt;"",AD8&gt;0),TRUE()),OR(BM8="",BM8="Активна")),"Да","Нет")</f>
        <v>Нет</v>
      </c>
      <c r="BA8" s="25" t="str">
        <f t="shared" si="12"/>
        <v>Нет</v>
      </c>
      <c r="BB8" s="25" t="str">
        <f t="shared" si="13"/>
        <v/>
      </c>
      <c r="BC8" s="25" t="str">
        <f t="shared" si="14"/>
        <v/>
      </c>
      <c r="BD8" s="25" t="str">
        <f t="shared" si="15"/>
        <v/>
      </c>
      <c r="BE8" s="25" t="str">
        <f>IF(A8="","",IF(BZ8&lt;&gt;"ПОЛНО","BLOCK: неполная форма",IF(O8&lt;&gt;"Да","BLOCK: ввоз не разрешён",IF(P8&lt;&gt;"Да","BLOCK: документы не подтверждены",IF(ABS(AN8-1)&gt;'03_Настройки'!$B$5,"BLOCK: платежи не 100%",IF(AND(BM8&lt;&gt;"",BM8&lt;&gt;"Активна"),"BLOCK: позиция "&amp;BM8,IF(BA8&lt;&gt;"Да","PARTIAL: не покрывает потребность",IF(BB8="ДА","самый дешёвый"&amp;IF(BC8="ДА"," + быстрый","")&amp;IF(BD8="ДА"," + optimal",""),IF(BC8="ДА","самый быстрый"&amp;IF(BD8="ДА"," + optimal",""),IF(BD8="ДА","optimal","Допущен"))))))))))</f>
        <v/>
      </c>
      <c r="BF8" s="25">
        <f>ROW()</f>
        <v>8</v>
      </c>
      <c r="BG8" s="33"/>
      <c r="BH8" s="33"/>
      <c r="BI8" s="33"/>
      <c r="BJ8" s="33"/>
      <c r="BK8" s="33"/>
      <c r="BL8" s="34"/>
      <c r="BM8" s="33"/>
      <c r="BN8" s="35" t="str">
        <f t="shared" si="16"/>
        <v/>
      </c>
      <c r="BO8" s="36" t="str">
        <f t="shared" si="17"/>
        <v/>
      </c>
      <c r="BP8" s="33"/>
      <c r="BQ8" s="38"/>
      <c r="BR8" s="13"/>
      <c r="BS8" s="13"/>
      <c r="BT8" s="13"/>
      <c r="BU8" s="13"/>
      <c r="BV8" s="13"/>
      <c r="BW8" s="13"/>
      <c r="BX8" s="39" t="str">
        <f t="shared" si="18"/>
        <v/>
      </c>
      <c r="BY8" s="47"/>
      <c r="BZ8" s="48" t="str">
        <f t="shared" si="19"/>
        <v/>
      </c>
      <c r="CA8" s="47"/>
      <c r="CB8" s="47"/>
      <c r="CC8" s="47"/>
    </row>
    <row r="9" spans="1:81" ht="14.25" x14ac:dyDescent="0.45">
      <c r="A9" s="10"/>
      <c r="B9" s="10"/>
      <c r="C9" s="10"/>
      <c r="D9" s="10"/>
      <c r="E9" s="10"/>
      <c r="F9" s="10"/>
      <c r="G9" s="10"/>
      <c r="H9" s="25" t="str">
        <f>IFERROR(VLOOKUP(C9,'01_Поставщики'!$A$4:$M$11,2,FALSE()),"")</f>
        <v/>
      </c>
      <c r="I9" s="10"/>
      <c r="J9" s="25" t="str">
        <f>IFERROR(VLOOKUP(C9,'01_Поставщики'!$A$4:$M$11,8,FALSE()),"")</f>
        <v/>
      </c>
      <c r="K9" s="25" t="str">
        <f>IFERROR(VLOOKUP(C9,'01_Поставщики'!$A$4:$M$11,4,FALSE()),"")</f>
        <v/>
      </c>
      <c r="L9" s="25" t="str">
        <f>IFERROR(VLOOKUP(C9,'01_Поставщики'!$A$4:$M$11,10,FALSE()),"")</f>
        <v/>
      </c>
      <c r="M9" s="26" t="str">
        <f>IF(OR(A9="",B9=""),"",IFERROR(SUMIFS('04_Потребность'!$B$4:$B$103,'04_Потребность'!$A$4:$A$103,A9,'04_Потребность'!$C$4:$C$103,B9),0))</f>
        <v/>
      </c>
      <c r="N9" s="11"/>
      <c r="O9" s="10"/>
      <c r="P9" s="10"/>
      <c r="Q9" s="27"/>
      <c r="R9" s="27"/>
      <c r="S9" s="8"/>
      <c r="T9" s="8">
        <f>IFERROR(INDEX('02_Схемы оплаты'!$C$4:$C$19,MATCH($C9&amp;"|"&amp;$G9,'02_Схемы оплаты'!$H$4:$H$19,0)),0)</f>
        <v>0</v>
      </c>
      <c r="U9" s="11"/>
      <c r="V9" s="28"/>
      <c r="W9" s="8"/>
      <c r="X9" s="8">
        <f>IFERROR(INDEX('02_Схемы оплаты'!$D$4:$D$19,MATCH($C9&amp;"|"&amp;$G9,'02_Схемы оплаты'!$H$4:$H$19,0)),0)</f>
        <v>0</v>
      </c>
      <c r="Y9" s="11"/>
      <c r="Z9" s="28"/>
      <c r="AA9" s="8"/>
      <c r="AB9" s="8">
        <f>IFERROR(INDEX('02_Схемы оплаты'!$E$4:$E$19,MATCH($C9&amp;"|"&amp;$G9,'02_Схемы оплаты'!$H$4:$H$19,0)),0)</f>
        <v>0</v>
      </c>
      <c r="AC9" s="11"/>
      <c r="AD9" s="28"/>
      <c r="AE9" s="8"/>
      <c r="AF9" s="10"/>
      <c r="AG9" s="10"/>
      <c r="AH9" s="25">
        <f>IFERROR(SUMIFS('04_Потребность'!$D$4:$D$103,'04_Потребность'!$A$4:$A$103,A9,'04_Потребность'!$C$4:$C$103,B9),0)</f>
        <v>0</v>
      </c>
      <c r="AI9" s="26" t="str">
        <f>IF(OR(A9="",B9=""),"",IFERROR(SUMIFS('04_Потребность'!$E$4:$E$103,'04_Потребность'!$A$4:$A$103,A9,'04_Потребность'!$C$4:$C$103,B9),0))</f>
        <v/>
      </c>
      <c r="AJ9" s="25" t="str">
        <f>IF(OR(A9="",B9=""),"",IFERROR(SUMIFS('04_Потребность'!$F$4:$F$103,'04_Потребность'!$A$4:$A$103,A9,'04_Потребность'!$C$4:$C$103,B9),0))</f>
        <v/>
      </c>
      <c r="AK9" s="29" t="str">
        <f>IF(OR(A9="",B9=""),"",IFERROR(SUMIFS('04_Потребность'!$G$4:$G$103,'04_Потребность'!$A$4:$A$103,A9,'04_Потребность'!$C$4:$C$103,B9),0))</f>
        <v/>
      </c>
      <c r="AL9" s="25" t="str">
        <f>IF('03_Настройки'!$B$7="Нет","Нет",IF(COUNTIFS('04_Потребность'!$A$4:$A$103,A9,'04_Потребность'!$C$4:$C$103,B9,'04_Потребность'!$H$4:$H$103,"Да")&gt;0,"Да","Нет"))</f>
        <v>Нет</v>
      </c>
      <c r="AM9" s="30">
        <f t="shared" si="0"/>
        <v>0</v>
      </c>
      <c r="AN9" s="30">
        <f t="shared" si="1"/>
        <v>0</v>
      </c>
      <c r="AO9" s="29">
        <f t="shared" si="2"/>
        <v>0</v>
      </c>
      <c r="AP9" s="29">
        <f t="shared" si="3"/>
        <v>0</v>
      </c>
      <c r="AQ9" s="29">
        <f t="shared" si="4"/>
        <v>0</v>
      </c>
      <c r="AR9" s="29">
        <f>IFERROR(E9*'03_Настройки'!$B$4/365*(IF(T9&gt;0,T9*V9*(1+W9)*MAX(0,N9-U9),0)+IF(X9&gt;0,X9*Z9*(1+AA9)*MAX(0,N9-Y9),0)+IF(AB9&gt;0,AB9*AD9*(1+AE9)*MAX(0,N9-AC9),0)),0)</f>
        <v>0</v>
      </c>
      <c r="AS9" s="29">
        <f t="shared" si="5"/>
        <v>0</v>
      </c>
      <c r="AT9" s="31">
        <f t="shared" si="6"/>
        <v>0</v>
      </c>
      <c r="AU9" s="31">
        <f t="shared" si="7"/>
        <v>0</v>
      </c>
      <c r="AV9" s="32">
        <f t="shared" si="8"/>
        <v>0</v>
      </c>
      <c r="AW9" s="29" t="e">
        <f t="shared" si="9"/>
        <v>#VALUE!</v>
      </c>
      <c r="AX9" s="29">
        <f t="shared" si="10"/>
        <v>0</v>
      </c>
      <c r="AY9" s="29" t="e">
        <f t="shared" si="11"/>
        <v>#VALUE!</v>
      </c>
      <c r="AZ9" s="25" t="str">
        <f>IF(AND(A9&lt;&gt;"",B9&lt;&gt;"",C9&lt;&gt;"",D9&gt;0,E9&gt;0,N9&lt;&gt;"",AH9&gt;0,O9="Да",P9="Да",BZ9="ПОЛНО",ABS(AN9-1)&lt;='03_Настройки'!$B$5,IF(T9&gt;0,AND(U9&lt;&gt;"",V9&gt;0),TRUE()),IF(X9&gt;0,AND(Y9&lt;&gt;"",Z9&gt;0),TRUE()),IF(AB9&gt;0,AND(AC9&lt;&gt;"",AD9&gt;0),TRUE()),OR(BM9="",BM9="Активна")),"Да","Нет")</f>
        <v>Нет</v>
      </c>
      <c r="BA9" s="25" t="str">
        <f t="shared" si="12"/>
        <v>Нет</v>
      </c>
      <c r="BB9" s="25" t="str">
        <f t="shared" si="13"/>
        <v/>
      </c>
      <c r="BC9" s="25" t="str">
        <f t="shared" si="14"/>
        <v/>
      </c>
      <c r="BD9" s="25" t="str">
        <f t="shared" si="15"/>
        <v/>
      </c>
      <c r="BE9" s="25" t="str">
        <f>IF(A9="","",IF(BZ9&lt;&gt;"ПОЛНО","BLOCK: неполная форма",IF(O9&lt;&gt;"Да","BLOCK: ввоз не разрешён",IF(P9&lt;&gt;"Да","BLOCK: документы не подтверждены",IF(ABS(AN9-1)&gt;'03_Настройки'!$B$5,"BLOCK: платежи не 100%",IF(AND(BM9&lt;&gt;"",BM9&lt;&gt;"Активна"),"BLOCK: позиция "&amp;BM9,IF(BA9&lt;&gt;"Да","PARTIAL: не покрывает потребность",IF(BB9="ДА","самый дешёвый"&amp;IF(BC9="ДА"," + быстрый","")&amp;IF(BD9="ДА"," + optimal",""),IF(BC9="ДА","самый быстрый"&amp;IF(BD9="ДА"," + optimal",""),IF(BD9="ДА","optimal","Допущен"))))))))))</f>
        <v/>
      </c>
      <c r="BF9" s="25">
        <f>ROW()</f>
        <v>9</v>
      </c>
      <c r="BG9" s="33"/>
      <c r="BH9" s="33"/>
      <c r="BI9" s="33"/>
      <c r="BJ9" s="33"/>
      <c r="BK9" s="33"/>
      <c r="BL9" s="34"/>
      <c r="BM9" s="33"/>
      <c r="BN9" s="35" t="str">
        <f t="shared" si="16"/>
        <v/>
      </c>
      <c r="BO9" s="36" t="str">
        <f t="shared" si="17"/>
        <v/>
      </c>
      <c r="BP9" s="33"/>
      <c r="BQ9" s="38"/>
      <c r="BR9" s="13"/>
      <c r="BS9" s="13"/>
      <c r="BT9" s="13"/>
      <c r="BU9" s="13"/>
      <c r="BV9" s="13"/>
      <c r="BW9" s="13"/>
      <c r="BX9" s="39" t="str">
        <f t="shared" si="18"/>
        <v/>
      </c>
      <c r="BY9" s="47"/>
      <c r="BZ9" s="48" t="str">
        <f t="shared" si="19"/>
        <v/>
      </c>
      <c r="CA9" s="47"/>
      <c r="CB9" s="47"/>
      <c r="CC9" s="47"/>
    </row>
    <row r="10" spans="1:81" ht="14.25" x14ac:dyDescent="0.45">
      <c r="A10" s="10"/>
      <c r="B10" s="10"/>
      <c r="C10" s="10"/>
      <c r="D10" s="10"/>
      <c r="E10" s="10"/>
      <c r="F10" s="10"/>
      <c r="G10" s="10"/>
      <c r="H10" s="25" t="str">
        <f>IFERROR(VLOOKUP(C10,'01_Поставщики'!$A$4:$M$11,2,FALSE()),"")</f>
        <v/>
      </c>
      <c r="I10" s="10"/>
      <c r="J10" s="25" t="str">
        <f>IFERROR(VLOOKUP(C10,'01_Поставщики'!$A$4:$M$11,8,FALSE()),"")</f>
        <v/>
      </c>
      <c r="K10" s="25" t="str">
        <f>IFERROR(VLOOKUP(C10,'01_Поставщики'!$A$4:$M$11,4,FALSE()),"")</f>
        <v/>
      </c>
      <c r="L10" s="25" t="str">
        <f>IFERROR(VLOOKUP(C10,'01_Поставщики'!$A$4:$M$11,10,FALSE()),"")</f>
        <v/>
      </c>
      <c r="M10" s="26" t="str">
        <f>IF(OR(A10="",B10=""),"",IFERROR(SUMIFS('04_Потребность'!$B$4:$B$103,'04_Потребность'!$A$4:$A$103,A10,'04_Потребность'!$C$4:$C$103,B10),0))</f>
        <v/>
      </c>
      <c r="N10" s="11"/>
      <c r="O10" s="10"/>
      <c r="P10" s="10"/>
      <c r="Q10" s="27"/>
      <c r="R10" s="27"/>
      <c r="S10" s="8"/>
      <c r="T10" s="8">
        <f>IFERROR(INDEX('02_Схемы оплаты'!$C$4:$C$19,MATCH($C10&amp;"|"&amp;$G10,'02_Схемы оплаты'!$H$4:$H$19,0)),0)</f>
        <v>0</v>
      </c>
      <c r="U10" s="11"/>
      <c r="V10" s="28"/>
      <c r="W10" s="8"/>
      <c r="X10" s="8">
        <f>IFERROR(INDEX('02_Схемы оплаты'!$D$4:$D$19,MATCH($C10&amp;"|"&amp;$G10,'02_Схемы оплаты'!$H$4:$H$19,0)),0)</f>
        <v>0</v>
      </c>
      <c r="Y10" s="11"/>
      <c r="Z10" s="28"/>
      <c r="AA10" s="8"/>
      <c r="AB10" s="8">
        <f>IFERROR(INDEX('02_Схемы оплаты'!$E$4:$E$19,MATCH($C10&amp;"|"&amp;$G10,'02_Схемы оплаты'!$H$4:$H$19,0)),0)</f>
        <v>0</v>
      </c>
      <c r="AC10" s="11"/>
      <c r="AD10" s="28"/>
      <c r="AE10" s="8"/>
      <c r="AF10" s="10"/>
      <c r="AG10" s="10"/>
      <c r="AH10" s="25">
        <f>IFERROR(SUMIFS('04_Потребность'!$D$4:$D$103,'04_Потребность'!$A$4:$A$103,A10,'04_Потребность'!$C$4:$C$103,B10),0)</f>
        <v>0</v>
      </c>
      <c r="AI10" s="26" t="str">
        <f>IF(OR(A10="",B10=""),"",IFERROR(SUMIFS('04_Потребность'!$E$4:$E$103,'04_Потребность'!$A$4:$A$103,A10,'04_Потребность'!$C$4:$C$103,B10),0))</f>
        <v/>
      </c>
      <c r="AJ10" s="25" t="str">
        <f>IF(OR(A10="",B10=""),"",IFERROR(SUMIFS('04_Потребность'!$F$4:$F$103,'04_Потребность'!$A$4:$A$103,A10,'04_Потребность'!$C$4:$C$103,B10),0))</f>
        <v/>
      </c>
      <c r="AK10" s="29" t="str">
        <f>IF(OR(A10="",B10=""),"",IFERROR(SUMIFS('04_Потребность'!$G$4:$G$103,'04_Потребность'!$A$4:$A$103,A10,'04_Потребность'!$C$4:$C$103,B10),0))</f>
        <v/>
      </c>
      <c r="AL10" s="25" t="str">
        <f>IF('03_Настройки'!$B$7="Нет","Нет",IF(COUNTIFS('04_Потребность'!$A$4:$A$103,A10,'04_Потребность'!$C$4:$C$103,B10,'04_Потребность'!$H$4:$H$103,"Да")&gt;0,"Да","Нет"))</f>
        <v>Нет</v>
      </c>
      <c r="AM10" s="30">
        <f t="shared" si="0"/>
        <v>0</v>
      </c>
      <c r="AN10" s="30">
        <f t="shared" si="1"/>
        <v>0</v>
      </c>
      <c r="AO10" s="29">
        <f t="shared" si="2"/>
        <v>0</v>
      </c>
      <c r="AP10" s="29">
        <f t="shared" si="3"/>
        <v>0</v>
      </c>
      <c r="AQ10" s="29">
        <f t="shared" si="4"/>
        <v>0</v>
      </c>
      <c r="AR10" s="29">
        <f>IFERROR(E10*'03_Настройки'!$B$4/365*(IF(T10&gt;0,T10*V10*(1+W10)*MAX(0,N10-U10),0)+IF(X10&gt;0,X10*Z10*(1+AA10)*MAX(0,N10-Y10),0)+IF(AB10&gt;0,AB10*AD10*(1+AE10)*MAX(0,N10-AC10),0)),0)</f>
        <v>0</v>
      </c>
      <c r="AS10" s="29">
        <f t="shared" si="5"/>
        <v>0</v>
      </c>
      <c r="AT10" s="31">
        <f t="shared" si="6"/>
        <v>0</v>
      </c>
      <c r="AU10" s="31">
        <f t="shared" si="7"/>
        <v>0</v>
      </c>
      <c r="AV10" s="32">
        <f t="shared" si="8"/>
        <v>0</v>
      </c>
      <c r="AW10" s="29" t="e">
        <f t="shared" si="9"/>
        <v>#VALUE!</v>
      </c>
      <c r="AX10" s="29">
        <f t="shared" si="10"/>
        <v>0</v>
      </c>
      <c r="AY10" s="29" t="e">
        <f t="shared" si="11"/>
        <v>#VALUE!</v>
      </c>
      <c r="AZ10" s="25" t="str">
        <f>IF(AND(A10&lt;&gt;"",B10&lt;&gt;"",C10&lt;&gt;"",D10&gt;0,E10&gt;0,N10&lt;&gt;"",AH10&gt;0,O10="Да",P10="Да",BZ10="ПОЛНО",ABS(AN10-1)&lt;='03_Настройки'!$B$5,IF(T10&gt;0,AND(U10&lt;&gt;"",V10&gt;0),TRUE()),IF(X10&gt;0,AND(Y10&lt;&gt;"",Z10&gt;0),TRUE()),IF(AB10&gt;0,AND(AC10&lt;&gt;"",AD10&gt;0),TRUE()),OR(BM10="",BM10="Активна")),"Да","Нет")</f>
        <v>Нет</v>
      </c>
      <c r="BA10" s="25" t="str">
        <f t="shared" si="12"/>
        <v>Нет</v>
      </c>
      <c r="BB10" s="25" t="str">
        <f t="shared" si="13"/>
        <v/>
      </c>
      <c r="BC10" s="25" t="str">
        <f t="shared" si="14"/>
        <v/>
      </c>
      <c r="BD10" s="25" t="str">
        <f t="shared" si="15"/>
        <v/>
      </c>
      <c r="BE10" s="25" t="str">
        <f>IF(A10="","",IF(BZ10&lt;&gt;"ПОЛНО","BLOCK: неполная форма",IF(O10&lt;&gt;"Да","BLOCK: ввоз не разрешён",IF(P10&lt;&gt;"Да","BLOCK: документы не подтверждены",IF(ABS(AN10-1)&gt;'03_Настройки'!$B$5,"BLOCK: платежи не 100%",IF(AND(BM10&lt;&gt;"",BM10&lt;&gt;"Активна"),"BLOCK: позиция "&amp;BM10,IF(BA10&lt;&gt;"Да","PARTIAL: не покрывает потребность",IF(BB10="ДА","самый дешёвый"&amp;IF(BC10="ДА"," + быстрый","")&amp;IF(BD10="ДА"," + optimal",""),IF(BC10="ДА","самый быстрый"&amp;IF(BD10="ДА"," + optimal",""),IF(BD10="ДА","optimal","Допущен"))))))))))</f>
        <v/>
      </c>
      <c r="BF10" s="25">
        <f>ROW()</f>
        <v>10</v>
      </c>
      <c r="BG10" s="33"/>
      <c r="BH10" s="33"/>
      <c r="BI10" s="33"/>
      <c r="BJ10" s="33"/>
      <c r="BK10" s="33"/>
      <c r="BL10" s="34"/>
      <c r="BM10" s="33"/>
      <c r="BN10" s="35" t="str">
        <f t="shared" si="16"/>
        <v/>
      </c>
      <c r="BO10" s="36" t="str">
        <f t="shared" si="17"/>
        <v/>
      </c>
      <c r="BP10" s="33"/>
      <c r="BQ10" s="38"/>
      <c r="BR10" s="13"/>
      <c r="BS10" s="13"/>
      <c r="BT10" s="13"/>
      <c r="BU10" s="13"/>
      <c r="BV10" s="13"/>
      <c r="BW10" s="13"/>
      <c r="BX10" s="39" t="str">
        <f t="shared" si="18"/>
        <v/>
      </c>
      <c r="BY10" s="47"/>
      <c r="BZ10" s="48" t="str">
        <f t="shared" si="19"/>
        <v/>
      </c>
      <c r="CA10" s="47"/>
      <c r="CB10" s="47"/>
      <c r="CC10" s="47"/>
    </row>
    <row r="11" spans="1:81" ht="14.25" x14ac:dyDescent="0.45">
      <c r="A11" s="10"/>
      <c r="B11" s="10"/>
      <c r="C11" s="10"/>
      <c r="D11" s="10"/>
      <c r="E11" s="10"/>
      <c r="F11" s="10"/>
      <c r="G11" s="10"/>
      <c r="H11" s="25" t="str">
        <f>IFERROR(VLOOKUP(C11,'01_Поставщики'!$A$4:$M$11,2,FALSE()),"")</f>
        <v/>
      </c>
      <c r="I11" s="10"/>
      <c r="J11" s="25" t="str">
        <f>IFERROR(VLOOKUP(C11,'01_Поставщики'!$A$4:$M$11,8,FALSE()),"")</f>
        <v/>
      </c>
      <c r="K11" s="25" t="str">
        <f>IFERROR(VLOOKUP(C11,'01_Поставщики'!$A$4:$M$11,4,FALSE()),"")</f>
        <v/>
      </c>
      <c r="L11" s="25" t="str">
        <f>IFERROR(VLOOKUP(C11,'01_Поставщики'!$A$4:$M$11,10,FALSE()),"")</f>
        <v/>
      </c>
      <c r="M11" s="26" t="str">
        <f>IF(OR(A11="",B11=""),"",IFERROR(SUMIFS('04_Потребность'!$B$4:$B$103,'04_Потребность'!$A$4:$A$103,A11,'04_Потребность'!$C$4:$C$103,B11),0))</f>
        <v/>
      </c>
      <c r="N11" s="11"/>
      <c r="O11" s="10"/>
      <c r="P11" s="10"/>
      <c r="Q11" s="27"/>
      <c r="R11" s="27"/>
      <c r="S11" s="8"/>
      <c r="T11" s="8">
        <f>IFERROR(INDEX('02_Схемы оплаты'!$C$4:$C$19,MATCH($C11&amp;"|"&amp;$G11,'02_Схемы оплаты'!$H$4:$H$19,0)),0)</f>
        <v>0</v>
      </c>
      <c r="U11" s="11"/>
      <c r="V11" s="28"/>
      <c r="W11" s="8"/>
      <c r="X11" s="8">
        <f>IFERROR(INDEX('02_Схемы оплаты'!$D$4:$D$19,MATCH($C11&amp;"|"&amp;$G11,'02_Схемы оплаты'!$H$4:$H$19,0)),0)</f>
        <v>0</v>
      </c>
      <c r="Y11" s="11"/>
      <c r="Z11" s="28"/>
      <c r="AA11" s="8"/>
      <c r="AB11" s="8">
        <f>IFERROR(INDEX('02_Схемы оплаты'!$E$4:$E$19,MATCH($C11&amp;"|"&amp;$G11,'02_Схемы оплаты'!$H$4:$H$19,0)),0)</f>
        <v>0</v>
      </c>
      <c r="AC11" s="11"/>
      <c r="AD11" s="28"/>
      <c r="AE11" s="8"/>
      <c r="AF11" s="10"/>
      <c r="AG11" s="10"/>
      <c r="AH11" s="25">
        <f>IFERROR(SUMIFS('04_Потребность'!$D$4:$D$103,'04_Потребность'!$A$4:$A$103,A11,'04_Потребность'!$C$4:$C$103,B11),0)</f>
        <v>0</v>
      </c>
      <c r="AI11" s="26" t="str">
        <f>IF(OR(A11="",B11=""),"",IFERROR(SUMIFS('04_Потребность'!$E$4:$E$103,'04_Потребность'!$A$4:$A$103,A11,'04_Потребность'!$C$4:$C$103,B11),0))</f>
        <v/>
      </c>
      <c r="AJ11" s="25" t="str">
        <f>IF(OR(A11="",B11=""),"",IFERROR(SUMIFS('04_Потребность'!$F$4:$F$103,'04_Потребность'!$A$4:$A$103,A11,'04_Потребность'!$C$4:$C$103,B11),0))</f>
        <v/>
      </c>
      <c r="AK11" s="29" t="str">
        <f>IF(OR(A11="",B11=""),"",IFERROR(SUMIFS('04_Потребность'!$G$4:$G$103,'04_Потребность'!$A$4:$A$103,A11,'04_Потребность'!$C$4:$C$103,B11),0))</f>
        <v/>
      </c>
      <c r="AL11" s="25" t="str">
        <f>IF('03_Настройки'!$B$7="Нет","Нет",IF(COUNTIFS('04_Потребность'!$A$4:$A$103,A11,'04_Потребность'!$C$4:$C$103,B11,'04_Потребность'!$H$4:$H$103,"Да")&gt;0,"Да","Нет"))</f>
        <v>Нет</v>
      </c>
      <c r="AM11" s="30">
        <f t="shared" si="0"/>
        <v>0</v>
      </c>
      <c r="AN11" s="30">
        <f t="shared" si="1"/>
        <v>0</v>
      </c>
      <c r="AO11" s="29">
        <f t="shared" si="2"/>
        <v>0</v>
      </c>
      <c r="AP11" s="29">
        <f t="shared" si="3"/>
        <v>0</v>
      </c>
      <c r="AQ11" s="29">
        <f t="shared" si="4"/>
        <v>0</v>
      </c>
      <c r="AR11" s="29">
        <f>IFERROR(E11*'03_Настройки'!$B$4/365*(IF(T11&gt;0,T11*V11*(1+W11)*MAX(0,N11-U11),0)+IF(X11&gt;0,X11*Z11*(1+AA11)*MAX(0,N11-Y11),0)+IF(AB11&gt;0,AB11*AD11*(1+AE11)*MAX(0,N11-AC11),0)),0)</f>
        <v>0</v>
      </c>
      <c r="AS11" s="29">
        <f t="shared" si="5"/>
        <v>0</v>
      </c>
      <c r="AT11" s="31">
        <f t="shared" si="6"/>
        <v>0</v>
      </c>
      <c r="AU11" s="31">
        <f t="shared" si="7"/>
        <v>0</v>
      </c>
      <c r="AV11" s="32">
        <f t="shared" si="8"/>
        <v>0</v>
      </c>
      <c r="AW11" s="29" t="e">
        <f t="shared" si="9"/>
        <v>#VALUE!</v>
      </c>
      <c r="AX11" s="29">
        <f t="shared" si="10"/>
        <v>0</v>
      </c>
      <c r="AY11" s="29" t="e">
        <f t="shared" si="11"/>
        <v>#VALUE!</v>
      </c>
      <c r="AZ11" s="25" t="str">
        <f>IF(AND(A11&lt;&gt;"",B11&lt;&gt;"",C11&lt;&gt;"",D11&gt;0,E11&gt;0,N11&lt;&gt;"",AH11&gt;0,O11="Да",P11="Да",BZ11="ПОЛНО",ABS(AN11-1)&lt;='03_Настройки'!$B$5,IF(T11&gt;0,AND(U11&lt;&gt;"",V11&gt;0),TRUE()),IF(X11&gt;0,AND(Y11&lt;&gt;"",Z11&gt;0),TRUE()),IF(AB11&gt;0,AND(AC11&lt;&gt;"",AD11&gt;0),TRUE()),OR(BM11="",BM11="Активна")),"Да","Нет")</f>
        <v>Нет</v>
      </c>
      <c r="BA11" s="25" t="str">
        <f t="shared" si="12"/>
        <v>Нет</v>
      </c>
      <c r="BB11" s="25" t="str">
        <f t="shared" si="13"/>
        <v/>
      </c>
      <c r="BC11" s="25" t="str">
        <f t="shared" si="14"/>
        <v/>
      </c>
      <c r="BD11" s="25" t="str">
        <f t="shared" si="15"/>
        <v/>
      </c>
      <c r="BE11" s="25" t="str">
        <f>IF(A11="","",IF(BZ11&lt;&gt;"ПОЛНО","BLOCK: неполная форма",IF(O11&lt;&gt;"Да","BLOCK: ввоз не разрешён",IF(P11&lt;&gt;"Да","BLOCK: документы не подтверждены",IF(ABS(AN11-1)&gt;'03_Настройки'!$B$5,"BLOCK: платежи не 100%",IF(AND(BM11&lt;&gt;"",BM11&lt;&gt;"Активна"),"BLOCK: позиция "&amp;BM11,IF(BA11&lt;&gt;"Да","PARTIAL: не покрывает потребность",IF(BB11="ДА","самый дешёвый"&amp;IF(BC11="ДА"," + быстрый","")&amp;IF(BD11="ДА"," + optimal",""),IF(BC11="ДА","самый быстрый"&amp;IF(BD11="ДА"," + optimal",""),IF(BD11="ДА","optimal","Допущен"))))))))))</f>
        <v/>
      </c>
      <c r="BF11" s="25">
        <f>ROW()</f>
        <v>11</v>
      </c>
      <c r="BG11" s="33"/>
      <c r="BH11" s="33"/>
      <c r="BI11" s="33"/>
      <c r="BJ11" s="33"/>
      <c r="BK11" s="33"/>
      <c r="BL11" s="34"/>
      <c r="BM11" s="33"/>
      <c r="BN11" s="35" t="str">
        <f t="shared" si="16"/>
        <v/>
      </c>
      <c r="BO11" s="36" t="str">
        <f t="shared" si="17"/>
        <v/>
      </c>
      <c r="BP11" s="33"/>
      <c r="BQ11" s="38"/>
      <c r="BR11" s="13"/>
      <c r="BS11" s="13"/>
      <c r="BT11" s="13"/>
      <c r="BU11" s="13"/>
      <c r="BV11" s="13"/>
      <c r="BW11" s="13"/>
      <c r="BX11" s="39" t="str">
        <f t="shared" si="18"/>
        <v/>
      </c>
      <c r="BY11" s="47"/>
      <c r="BZ11" s="48" t="str">
        <f t="shared" si="19"/>
        <v/>
      </c>
      <c r="CA11" s="47"/>
      <c r="CB11" s="47"/>
      <c r="CC11" s="47"/>
    </row>
    <row r="12" spans="1:81" ht="14.25" x14ac:dyDescent="0.45">
      <c r="A12" s="10"/>
      <c r="B12" s="10"/>
      <c r="C12" s="10"/>
      <c r="D12" s="10"/>
      <c r="E12" s="10"/>
      <c r="F12" s="10"/>
      <c r="G12" s="10"/>
      <c r="H12" s="25" t="str">
        <f>IFERROR(VLOOKUP(C12,'01_Поставщики'!$A$4:$M$11,2,FALSE()),"")</f>
        <v/>
      </c>
      <c r="I12" s="10"/>
      <c r="J12" s="25" t="str">
        <f>IFERROR(VLOOKUP(C12,'01_Поставщики'!$A$4:$M$11,8,FALSE()),"")</f>
        <v/>
      </c>
      <c r="K12" s="25" t="str">
        <f>IFERROR(VLOOKUP(C12,'01_Поставщики'!$A$4:$M$11,4,FALSE()),"")</f>
        <v/>
      </c>
      <c r="L12" s="25" t="str">
        <f>IFERROR(VLOOKUP(C12,'01_Поставщики'!$A$4:$M$11,10,FALSE()),"")</f>
        <v/>
      </c>
      <c r="M12" s="26" t="str">
        <f>IF(OR(A12="",B12=""),"",IFERROR(SUMIFS('04_Потребность'!$B$4:$B$103,'04_Потребность'!$A$4:$A$103,A12,'04_Потребность'!$C$4:$C$103,B12),0))</f>
        <v/>
      </c>
      <c r="N12" s="11"/>
      <c r="O12" s="10"/>
      <c r="P12" s="10"/>
      <c r="Q12" s="27"/>
      <c r="R12" s="27"/>
      <c r="S12" s="8"/>
      <c r="T12" s="8">
        <f>IFERROR(INDEX('02_Схемы оплаты'!$C$4:$C$19,MATCH($C12&amp;"|"&amp;$G12,'02_Схемы оплаты'!$H$4:$H$19,0)),0)</f>
        <v>0</v>
      </c>
      <c r="U12" s="11"/>
      <c r="V12" s="28"/>
      <c r="W12" s="8"/>
      <c r="X12" s="8">
        <f>IFERROR(INDEX('02_Схемы оплаты'!$D$4:$D$19,MATCH($C12&amp;"|"&amp;$G12,'02_Схемы оплаты'!$H$4:$H$19,0)),0)</f>
        <v>0</v>
      </c>
      <c r="Y12" s="11"/>
      <c r="Z12" s="28"/>
      <c r="AA12" s="8"/>
      <c r="AB12" s="8">
        <f>IFERROR(INDEX('02_Схемы оплаты'!$E$4:$E$19,MATCH($C12&amp;"|"&amp;$G12,'02_Схемы оплаты'!$H$4:$H$19,0)),0)</f>
        <v>0</v>
      </c>
      <c r="AC12" s="11"/>
      <c r="AD12" s="28"/>
      <c r="AE12" s="8"/>
      <c r="AF12" s="10"/>
      <c r="AG12" s="10"/>
      <c r="AH12" s="25">
        <f>IFERROR(SUMIFS('04_Потребность'!$D$4:$D$103,'04_Потребность'!$A$4:$A$103,A12,'04_Потребность'!$C$4:$C$103,B12),0)</f>
        <v>0</v>
      </c>
      <c r="AI12" s="26" t="str">
        <f>IF(OR(A12="",B12=""),"",IFERROR(SUMIFS('04_Потребность'!$E$4:$E$103,'04_Потребность'!$A$4:$A$103,A12,'04_Потребность'!$C$4:$C$103,B12),0))</f>
        <v/>
      </c>
      <c r="AJ12" s="25" t="str">
        <f>IF(OR(A12="",B12=""),"",IFERROR(SUMIFS('04_Потребность'!$F$4:$F$103,'04_Потребность'!$A$4:$A$103,A12,'04_Потребность'!$C$4:$C$103,B12),0))</f>
        <v/>
      </c>
      <c r="AK12" s="29" t="str">
        <f>IF(OR(A12="",B12=""),"",IFERROR(SUMIFS('04_Потребность'!$G$4:$G$103,'04_Потребность'!$A$4:$A$103,A12,'04_Потребность'!$C$4:$C$103,B12),0))</f>
        <v/>
      </c>
      <c r="AL12" s="25" t="str">
        <f>IF('03_Настройки'!$B$7="Нет","Нет",IF(COUNTIFS('04_Потребность'!$A$4:$A$103,A12,'04_Потребность'!$C$4:$C$103,B12,'04_Потребность'!$H$4:$H$103,"Да")&gt;0,"Да","Нет"))</f>
        <v>Нет</v>
      </c>
      <c r="AM12" s="30">
        <f t="shared" si="0"/>
        <v>0</v>
      </c>
      <c r="AN12" s="30">
        <f t="shared" si="1"/>
        <v>0</v>
      </c>
      <c r="AO12" s="29">
        <f t="shared" si="2"/>
        <v>0</v>
      </c>
      <c r="AP12" s="29">
        <f t="shared" si="3"/>
        <v>0</v>
      </c>
      <c r="AQ12" s="29">
        <f t="shared" si="4"/>
        <v>0</v>
      </c>
      <c r="AR12" s="29">
        <f>IFERROR(E12*'03_Настройки'!$B$4/365*(IF(T12&gt;0,T12*V12*(1+W12)*MAX(0,N12-U12),0)+IF(X12&gt;0,X12*Z12*(1+AA12)*MAX(0,N12-Y12),0)+IF(AB12&gt;0,AB12*AD12*(1+AE12)*MAX(0,N12-AC12),0)),0)</f>
        <v>0</v>
      </c>
      <c r="AS12" s="29">
        <f t="shared" si="5"/>
        <v>0</v>
      </c>
      <c r="AT12" s="31">
        <f t="shared" si="6"/>
        <v>0</v>
      </c>
      <c r="AU12" s="31">
        <f t="shared" si="7"/>
        <v>0</v>
      </c>
      <c r="AV12" s="32">
        <f t="shared" si="8"/>
        <v>0</v>
      </c>
      <c r="AW12" s="29" t="e">
        <f t="shared" si="9"/>
        <v>#VALUE!</v>
      </c>
      <c r="AX12" s="29">
        <f t="shared" si="10"/>
        <v>0</v>
      </c>
      <c r="AY12" s="29" t="e">
        <f t="shared" si="11"/>
        <v>#VALUE!</v>
      </c>
      <c r="AZ12" s="25" t="str">
        <f>IF(AND(A12&lt;&gt;"",B12&lt;&gt;"",C12&lt;&gt;"",D12&gt;0,E12&gt;0,N12&lt;&gt;"",AH12&gt;0,O12="Да",P12="Да",BZ12="ПОЛНО",ABS(AN12-1)&lt;='03_Настройки'!$B$5,IF(T12&gt;0,AND(U12&lt;&gt;"",V12&gt;0),TRUE()),IF(X12&gt;0,AND(Y12&lt;&gt;"",Z12&gt;0),TRUE()),IF(AB12&gt;0,AND(AC12&lt;&gt;"",AD12&gt;0),TRUE()),OR(BM12="",BM12="Активна")),"Да","Нет")</f>
        <v>Нет</v>
      </c>
      <c r="BA12" s="25" t="str">
        <f t="shared" si="12"/>
        <v>Нет</v>
      </c>
      <c r="BB12" s="25" t="str">
        <f t="shared" si="13"/>
        <v/>
      </c>
      <c r="BC12" s="25" t="str">
        <f t="shared" si="14"/>
        <v/>
      </c>
      <c r="BD12" s="25" t="str">
        <f t="shared" si="15"/>
        <v/>
      </c>
      <c r="BE12" s="25" t="str">
        <f>IF(A12="","",IF(BZ12&lt;&gt;"ПОЛНО","BLOCK: неполная форма",IF(O12&lt;&gt;"Да","BLOCK: ввоз не разрешён",IF(P12&lt;&gt;"Да","BLOCK: документы не подтверждены",IF(ABS(AN12-1)&gt;'03_Настройки'!$B$5,"BLOCK: платежи не 100%",IF(AND(BM12&lt;&gt;"",BM12&lt;&gt;"Активна"),"BLOCK: позиция "&amp;BM12,IF(BA12&lt;&gt;"Да","PARTIAL: не покрывает потребность",IF(BB12="ДА","самый дешёвый"&amp;IF(BC12="ДА"," + быстрый","")&amp;IF(BD12="ДА"," + optimal",""),IF(BC12="ДА","самый быстрый"&amp;IF(BD12="ДА"," + optimal",""),IF(BD12="ДА","optimal","Допущен"))))))))))</f>
        <v/>
      </c>
      <c r="BF12" s="25">
        <f>ROW()</f>
        <v>12</v>
      </c>
      <c r="BG12" s="33"/>
      <c r="BH12" s="33"/>
      <c r="BI12" s="33"/>
      <c r="BJ12" s="33"/>
      <c r="BK12" s="33"/>
      <c r="BL12" s="34"/>
      <c r="BM12" s="33"/>
      <c r="BN12" s="35" t="str">
        <f t="shared" si="16"/>
        <v/>
      </c>
      <c r="BO12" s="36" t="str">
        <f t="shared" si="17"/>
        <v/>
      </c>
      <c r="BP12" s="33"/>
      <c r="BQ12" s="38"/>
      <c r="BR12" s="13"/>
      <c r="BS12" s="13"/>
      <c r="BT12" s="13"/>
      <c r="BU12" s="13"/>
      <c r="BV12" s="13"/>
      <c r="BW12" s="13"/>
      <c r="BX12" s="39" t="str">
        <f t="shared" si="18"/>
        <v/>
      </c>
      <c r="BY12" s="47"/>
      <c r="BZ12" s="48" t="str">
        <f t="shared" si="19"/>
        <v/>
      </c>
      <c r="CA12" s="47"/>
      <c r="CB12" s="47"/>
      <c r="CC12" s="47"/>
    </row>
    <row r="13" spans="1:81" ht="14.25" x14ac:dyDescent="0.45">
      <c r="A13" s="10"/>
      <c r="B13" s="10"/>
      <c r="C13" s="10"/>
      <c r="D13" s="10"/>
      <c r="E13" s="10"/>
      <c r="F13" s="10"/>
      <c r="G13" s="10"/>
      <c r="H13" s="25" t="str">
        <f>IFERROR(VLOOKUP(C13,'01_Поставщики'!$A$4:$M$11,2,FALSE()),"")</f>
        <v/>
      </c>
      <c r="I13" s="10"/>
      <c r="J13" s="25" t="str">
        <f>IFERROR(VLOOKUP(C13,'01_Поставщики'!$A$4:$M$11,8,FALSE()),"")</f>
        <v/>
      </c>
      <c r="K13" s="25" t="str">
        <f>IFERROR(VLOOKUP(C13,'01_Поставщики'!$A$4:$M$11,4,FALSE()),"")</f>
        <v/>
      </c>
      <c r="L13" s="25" t="str">
        <f>IFERROR(VLOOKUP(C13,'01_Поставщики'!$A$4:$M$11,10,FALSE()),"")</f>
        <v/>
      </c>
      <c r="M13" s="26" t="str">
        <f>IF(OR(A13="",B13=""),"",IFERROR(SUMIFS('04_Потребность'!$B$4:$B$103,'04_Потребность'!$A$4:$A$103,A13,'04_Потребность'!$C$4:$C$103,B13),0))</f>
        <v/>
      </c>
      <c r="N13" s="11"/>
      <c r="O13" s="10"/>
      <c r="P13" s="10"/>
      <c r="Q13" s="27"/>
      <c r="R13" s="27"/>
      <c r="S13" s="8"/>
      <c r="T13" s="8">
        <f>IFERROR(INDEX('02_Схемы оплаты'!$C$4:$C$19,MATCH($C13&amp;"|"&amp;$G13,'02_Схемы оплаты'!$H$4:$H$19,0)),0)</f>
        <v>0</v>
      </c>
      <c r="U13" s="11"/>
      <c r="V13" s="28"/>
      <c r="W13" s="8"/>
      <c r="X13" s="8">
        <f>IFERROR(INDEX('02_Схемы оплаты'!$D$4:$D$19,MATCH($C13&amp;"|"&amp;$G13,'02_Схемы оплаты'!$H$4:$H$19,0)),0)</f>
        <v>0</v>
      </c>
      <c r="Y13" s="11"/>
      <c r="Z13" s="28"/>
      <c r="AA13" s="8"/>
      <c r="AB13" s="8">
        <f>IFERROR(INDEX('02_Схемы оплаты'!$E$4:$E$19,MATCH($C13&amp;"|"&amp;$G13,'02_Схемы оплаты'!$H$4:$H$19,0)),0)</f>
        <v>0</v>
      </c>
      <c r="AC13" s="11"/>
      <c r="AD13" s="28"/>
      <c r="AE13" s="8"/>
      <c r="AF13" s="10"/>
      <c r="AG13" s="10"/>
      <c r="AH13" s="25">
        <f>IFERROR(SUMIFS('04_Потребность'!$D$4:$D$103,'04_Потребность'!$A$4:$A$103,A13,'04_Потребность'!$C$4:$C$103,B13),0)</f>
        <v>0</v>
      </c>
      <c r="AI13" s="26" t="str">
        <f>IF(OR(A13="",B13=""),"",IFERROR(SUMIFS('04_Потребность'!$E$4:$E$103,'04_Потребность'!$A$4:$A$103,A13,'04_Потребность'!$C$4:$C$103,B13),0))</f>
        <v/>
      </c>
      <c r="AJ13" s="25" t="str">
        <f>IF(OR(A13="",B13=""),"",IFERROR(SUMIFS('04_Потребность'!$F$4:$F$103,'04_Потребность'!$A$4:$A$103,A13,'04_Потребность'!$C$4:$C$103,B13),0))</f>
        <v/>
      </c>
      <c r="AK13" s="29" t="str">
        <f>IF(OR(A13="",B13=""),"",IFERROR(SUMIFS('04_Потребность'!$G$4:$G$103,'04_Потребность'!$A$4:$A$103,A13,'04_Потребность'!$C$4:$C$103,B13),0))</f>
        <v/>
      </c>
      <c r="AL13" s="25" t="str">
        <f>IF('03_Настройки'!$B$7="Нет","Нет",IF(COUNTIFS('04_Потребность'!$A$4:$A$103,A13,'04_Потребность'!$C$4:$C$103,B13,'04_Потребность'!$H$4:$H$103,"Да")&gt;0,"Да","Нет"))</f>
        <v>Нет</v>
      </c>
      <c r="AM13" s="30">
        <f t="shared" si="0"/>
        <v>0</v>
      </c>
      <c r="AN13" s="30">
        <f t="shared" si="1"/>
        <v>0</v>
      </c>
      <c r="AO13" s="29">
        <f t="shared" si="2"/>
        <v>0</v>
      </c>
      <c r="AP13" s="29">
        <f t="shared" si="3"/>
        <v>0</v>
      </c>
      <c r="AQ13" s="29">
        <f t="shared" si="4"/>
        <v>0</v>
      </c>
      <c r="AR13" s="29">
        <f>IFERROR(E13*'03_Настройки'!$B$4/365*(IF(T13&gt;0,T13*V13*(1+W13)*MAX(0,N13-U13),0)+IF(X13&gt;0,X13*Z13*(1+AA13)*MAX(0,N13-Y13),0)+IF(AB13&gt;0,AB13*AD13*(1+AE13)*MAX(0,N13-AC13),0)),0)</f>
        <v>0</v>
      </c>
      <c r="AS13" s="29">
        <f t="shared" si="5"/>
        <v>0</v>
      </c>
      <c r="AT13" s="31">
        <f t="shared" si="6"/>
        <v>0</v>
      </c>
      <c r="AU13" s="31">
        <f t="shared" si="7"/>
        <v>0</v>
      </c>
      <c r="AV13" s="32">
        <f t="shared" si="8"/>
        <v>0</v>
      </c>
      <c r="AW13" s="29" t="e">
        <f t="shared" si="9"/>
        <v>#VALUE!</v>
      </c>
      <c r="AX13" s="29">
        <f t="shared" si="10"/>
        <v>0</v>
      </c>
      <c r="AY13" s="29" t="e">
        <f t="shared" si="11"/>
        <v>#VALUE!</v>
      </c>
      <c r="AZ13" s="25" t="str">
        <f>IF(AND(A13&lt;&gt;"",B13&lt;&gt;"",C13&lt;&gt;"",D13&gt;0,E13&gt;0,N13&lt;&gt;"",AH13&gt;0,O13="Да",P13="Да",BZ13="ПОЛНО",ABS(AN13-1)&lt;='03_Настройки'!$B$5,IF(T13&gt;0,AND(U13&lt;&gt;"",V13&gt;0),TRUE()),IF(X13&gt;0,AND(Y13&lt;&gt;"",Z13&gt;0),TRUE()),IF(AB13&gt;0,AND(AC13&lt;&gt;"",AD13&gt;0),TRUE()),OR(BM13="",BM13="Активна")),"Да","Нет")</f>
        <v>Нет</v>
      </c>
      <c r="BA13" s="25" t="str">
        <f t="shared" si="12"/>
        <v>Нет</v>
      </c>
      <c r="BB13" s="25" t="str">
        <f t="shared" si="13"/>
        <v/>
      </c>
      <c r="BC13" s="25" t="str">
        <f t="shared" si="14"/>
        <v/>
      </c>
      <c r="BD13" s="25" t="str">
        <f t="shared" si="15"/>
        <v/>
      </c>
      <c r="BE13" s="25" t="str">
        <f>IF(A13="","",IF(BZ13&lt;&gt;"ПОЛНО","BLOCK: неполная форма",IF(O13&lt;&gt;"Да","BLOCK: ввоз не разрешён",IF(P13&lt;&gt;"Да","BLOCK: документы не подтверждены",IF(ABS(AN13-1)&gt;'03_Настройки'!$B$5,"BLOCK: платежи не 100%",IF(AND(BM13&lt;&gt;"",BM13&lt;&gt;"Активна"),"BLOCK: позиция "&amp;BM13,IF(BA13&lt;&gt;"Да","PARTIAL: не покрывает потребность",IF(BB13="ДА","самый дешёвый"&amp;IF(BC13="ДА"," + быстрый","")&amp;IF(BD13="ДА"," + optimal",""),IF(BC13="ДА","самый быстрый"&amp;IF(BD13="ДА"," + optimal",""),IF(BD13="ДА","optimal","Допущен"))))))))))</f>
        <v/>
      </c>
      <c r="BF13" s="25">
        <f>ROW()</f>
        <v>13</v>
      </c>
      <c r="BG13" s="33"/>
      <c r="BH13" s="33"/>
      <c r="BI13" s="33"/>
      <c r="BJ13" s="33"/>
      <c r="BK13" s="33"/>
      <c r="BL13" s="34"/>
      <c r="BM13" s="33"/>
      <c r="BN13" s="35" t="str">
        <f t="shared" si="16"/>
        <v/>
      </c>
      <c r="BO13" s="36" t="str">
        <f t="shared" si="17"/>
        <v/>
      </c>
      <c r="BP13" s="33"/>
      <c r="BQ13" s="38"/>
      <c r="BR13" s="13"/>
      <c r="BS13" s="13"/>
      <c r="BT13" s="13"/>
      <c r="BU13" s="13"/>
      <c r="BV13" s="13"/>
      <c r="BW13" s="13"/>
      <c r="BX13" s="39" t="str">
        <f t="shared" si="18"/>
        <v/>
      </c>
      <c r="BY13" s="47"/>
      <c r="BZ13" s="48" t="str">
        <f t="shared" si="19"/>
        <v/>
      </c>
      <c r="CA13" s="47"/>
      <c r="CB13" s="47"/>
      <c r="CC13" s="47"/>
    </row>
    <row r="14" spans="1:81" ht="14.25" x14ac:dyDescent="0.45">
      <c r="A14" s="10"/>
      <c r="B14" s="10"/>
      <c r="C14" s="10"/>
      <c r="D14" s="10"/>
      <c r="E14" s="10"/>
      <c r="F14" s="10"/>
      <c r="G14" s="10"/>
      <c r="H14" s="25" t="str">
        <f>IFERROR(VLOOKUP(C14,'01_Поставщики'!$A$4:$M$11,2,FALSE()),"")</f>
        <v/>
      </c>
      <c r="I14" s="10"/>
      <c r="J14" s="25" t="str">
        <f>IFERROR(VLOOKUP(C14,'01_Поставщики'!$A$4:$M$11,8,FALSE()),"")</f>
        <v/>
      </c>
      <c r="K14" s="25" t="str">
        <f>IFERROR(VLOOKUP(C14,'01_Поставщики'!$A$4:$M$11,4,FALSE()),"")</f>
        <v/>
      </c>
      <c r="L14" s="25" t="str">
        <f>IFERROR(VLOOKUP(C14,'01_Поставщики'!$A$4:$M$11,10,FALSE()),"")</f>
        <v/>
      </c>
      <c r="M14" s="26" t="str">
        <f>IF(OR(A14="",B14=""),"",IFERROR(SUMIFS('04_Потребность'!$B$4:$B$103,'04_Потребность'!$A$4:$A$103,A14,'04_Потребность'!$C$4:$C$103,B14),0))</f>
        <v/>
      </c>
      <c r="N14" s="11"/>
      <c r="O14" s="10"/>
      <c r="P14" s="10"/>
      <c r="Q14" s="27"/>
      <c r="R14" s="27"/>
      <c r="S14" s="8"/>
      <c r="T14" s="8">
        <f>IFERROR(INDEX('02_Схемы оплаты'!$C$4:$C$19,MATCH($C14&amp;"|"&amp;$G14,'02_Схемы оплаты'!$H$4:$H$19,0)),0)</f>
        <v>0</v>
      </c>
      <c r="U14" s="11"/>
      <c r="V14" s="28"/>
      <c r="W14" s="8"/>
      <c r="X14" s="8">
        <f>IFERROR(INDEX('02_Схемы оплаты'!$D$4:$D$19,MATCH($C14&amp;"|"&amp;$G14,'02_Схемы оплаты'!$H$4:$H$19,0)),0)</f>
        <v>0</v>
      </c>
      <c r="Y14" s="11"/>
      <c r="Z14" s="28"/>
      <c r="AA14" s="8"/>
      <c r="AB14" s="8">
        <f>IFERROR(INDEX('02_Схемы оплаты'!$E$4:$E$19,MATCH($C14&amp;"|"&amp;$G14,'02_Схемы оплаты'!$H$4:$H$19,0)),0)</f>
        <v>0</v>
      </c>
      <c r="AC14" s="11"/>
      <c r="AD14" s="28"/>
      <c r="AE14" s="8"/>
      <c r="AF14" s="10"/>
      <c r="AG14" s="10"/>
      <c r="AH14" s="25">
        <f>IFERROR(SUMIFS('04_Потребность'!$D$4:$D$103,'04_Потребность'!$A$4:$A$103,A14,'04_Потребность'!$C$4:$C$103,B14),0)</f>
        <v>0</v>
      </c>
      <c r="AI14" s="26" t="str">
        <f>IF(OR(A14="",B14=""),"",IFERROR(SUMIFS('04_Потребность'!$E$4:$E$103,'04_Потребность'!$A$4:$A$103,A14,'04_Потребность'!$C$4:$C$103,B14),0))</f>
        <v/>
      </c>
      <c r="AJ14" s="25" t="str">
        <f>IF(OR(A14="",B14=""),"",IFERROR(SUMIFS('04_Потребность'!$F$4:$F$103,'04_Потребность'!$A$4:$A$103,A14,'04_Потребность'!$C$4:$C$103,B14),0))</f>
        <v/>
      </c>
      <c r="AK14" s="29" t="str">
        <f>IF(OR(A14="",B14=""),"",IFERROR(SUMIFS('04_Потребность'!$G$4:$G$103,'04_Потребность'!$A$4:$A$103,A14,'04_Потребность'!$C$4:$C$103,B14),0))</f>
        <v/>
      </c>
      <c r="AL14" s="25" t="str">
        <f>IF('03_Настройки'!$B$7="Нет","Нет",IF(COUNTIFS('04_Потребность'!$A$4:$A$103,A14,'04_Потребность'!$C$4:$C$103,B14,'04_Потребность'!$H$4:$H$103,"Да")&gt;0,"Да","Нет"))</f>
        <v>Нет</v>
      </c>
      <c r="AM14" s="30">
        <f t="shared" si="0"/>
        <v>0</v>
      </c>
      <c r="AN14" s="30">
        <f t="shared" si="1"/>
        <v>0</v>
      </c>
      <c r="AO14" s="29">
        <f t="shared" si="2"/>
        <v>0</v>
      </c>
      <c r="AP14" s="29">
        <f t="shared" si="3"/>
        <v>0</v>
      </c>
      <c r="AQ14" s="29">
        <f t="shared" si="4"/>
        <v>0</v>
      </c>
      <c r="AR14" s="29">
        <f>IFERROR(E14*'03_Настройки'!$B$4/365*(IF(T14&gt;0,T14*V14*(1+W14)*MAX(0,N14-U14),0)+IF(X14&gt;0,X14*Z14*(1+AA14)*MAX(0,N14-Y14),0)+IF(AB14&gt;0,AB14*AD14*(1+AE14)*MAX(0,N14-AC14),0)),0)</f>
        <v>0</v>
      </c>
      <c r="AS14" s="29">
        <f t="shared" si="5"/>
        <v>0</v>
      </c>
      <c r="AT14" s="31">
        <f t="shared" si="6"/>
        <v>0</v>
      </c>
      <c r="AU14" s="31">
        <f t="shared" si="7"/>
        <v>0</v>
      </c>
      <c r="AV14" s="32">
        <f t="shared" si="8"/>
        <v>0</v>
      </c>
      <c r="AW14" s="29" t="e">
        <f t="shared" si="9"/>
        <v>#VALUE!</v>
      </c>
      <c r="AX14" s="29">
        <f t="shared" si="10"/>
        <v>0</v>
      </c>
      <c r="AY14" s="29" t="e">
        <f t="shared" si="11"/>
        <v>#VALUE!</v>
      </c>
      <c r="AZ14" s="25" t="str">
        <f>IF(AND(A14&lt;&gt;"",B14&lt;&gt;"",C14&lt;&gt;"",D14&gt;0,E14&gt;0,N14&lt;&gt;"",AH14&gt;0,O14="Да",P14="Да",BZ14="ПОЛНО",ABS(AN14-1)&lt;='03_Настройки'!$B$5,IF(T14&gt;0,AND(U14&lt;&gt;"",V14&gt;0),TRUE()),IF(X14&gt;0,AND(Y14&lt;&gt;"",Z14&gt;0),TRUE()),IF(AB14&gt;0,AND(AC14&lt;&gt;"",AD14&gt;0),TRUE()),OR(BM14="",BM14="Активна")),"Да","Нет")</f>
        <v>Нет</v>
      </c>
      <c r="BA14" s="25" t="str">
        <f t="shared" si="12"/>
        <v>Нет</v>
      </c>
      <c r="BB14" s="25" t="str">
        <f t="shared" si="13"/>
        <v/>
      </c>
      <c r="BC14" s="25" t="str">
        <f t="shared" si="14"/>
        <v/>
      </c>
      <c r="BD14" s="25" t="str">
        <f t="shared" si="15"/>
        <v/>
      </c>
      <c r="BE14" s="25" t="str">
        <f>IF(A14="","",IF(BZ14&lt;&gt;"ПОЛНО","BLOCK: неполная форма",IF(O14&lt;&gt;"Да","BLOCK: ввоз не разрешён",IF(P14&lt;&gt;"Да","BLOCK: документы не подтверждены",IF(ABS(AN14-1)&gt;'03_Настройки'!$B$5,"BLOCK: платежи не 100%",IF(AND(BM14&lt;&gt;"",BM14&lt;&gt;"Активна"),"BLOCK: позиция "&amp;BM14,IF(BA14&lt;&gt;"Да","PARTIAL: не покрывает потребность",IF(BB14="ДА","самый дешёвый"&amp;IF(BC14="ДА"," + быстрый","")&amp;IF(BD14="ДА"," + optimal",""),IF(BC14="ДА","самый быстрый"&amp;IF(BD14="ДА"," + optimal",""),IF(BD14="ДА","optimal","Допущен"))))))))))</f>
        <v/>
      </c>
      <c r="BF14" s="25">
        <f>ROW()</f>
        <v>14</v>
      </c>
      <c r="BG14" s="33"/>
      <c r="BH14" s="33"/>
      <c r="BI14" s="33"/>
      <c r="BJ14" s="33"/>
      <c r="BK14" s="33"/>
      <c r="BL14" s="34"/>
      <c r="BM14" s="33"/>
      <c r="BN14" s="35" t="str">
        <f t="shared" si="16"/>
        <v/>
      </c>
      <c r="BO14" s="36" t="str">
        <f t="shared" si="17"/>
        <v/>
      </c>
      <c r="BP14" s="33"/>
      <c r="BQ14" s="38"/>
      <c r="BR14" s="13"/>
      <c r="BS14" s="13"/>
      <c r="BT14" s="13"/>
      <c r="BU14" s="13"/>
      <c r="BV14" s="13"/>
      <c r="BW14" s="13"/>
      <c r="BX14" s="39" t="str">
        <f t="shared" si="18"/>
        <v/>
      </c>
      <c r="BY14" s="47"/>
      <c r="BZ14" s="48" t="str">
        <f t="shared" si="19"/>
        <v/>
      </c>
      <c r="CA14" s="47"/>
      <c r="CB14" s="47"/>
      <c r="CC14" s="47"/>
    </row>
    <row r="15" spans="1:81" ht="14.25" x14ac:dyDescent="0.45">
      <c r="A15" s="10"/>
      <c r="B15" s="10"/>
      <c r="C15" s="10"/>
      <c r="D15" s="10"/>
      <c r="E15" s="10"/>
      <c r="F15" s="10"/>
      <c r="G15" s="10"/>
      <c r="H15" s="25" t="str">
        <f>IFERROR(VLOOKUP(C15,'01_Поставщики'!$A$4:$M$11,2,FALSE()),"")</f>
        <v/>
      </c>
      <c r="I15" s="10"/>
      <c r="J15" s="25" t="str">
        <f>IFERROR(VLOOKUP(C15,'01_Поставщики'!$A$4:$M$11,8,FALSE()),"")</f>
        <v/>
      </c>
      <c r="K15" s="25" t="str">
        <f>IFERROR(VLOOKUP(C15,'01_Поставщики'!$A$4:$M$11,4,FALSE()),"")</f>
        <v/>
      </c>
      <c r="L15" s="25" t="str">
        <f>IFERROR(VLOOKUP(C15,'01_Поставщики'!$A$4:$M$11,10,FALSE()),"")</f>
        <v/>
      </c>
      <c r="M15" s="26" t="str">
        <f>IF(OR(A15="",B15=""),"",IFERROR(SUMIFS('04_Потребность'!$B$4:$B$103,'04_Потребность'!$A$4:$A$103,A15,'04_Потребность'!$C$4:$C$103,B15),0))</f>
        <v/>
      </c>
      <c r="N15" s="11"/>
      <c r="O15" s="10"/>
      <c r="P15" s="10"/>
      <c r="Q15" s="27"/>
      <c r="R15" s="27"/>
      <c r="S15" s="8"/>
      <c r="T15" s="8">
        <f>IFERROR(INDEX('02_Схемы оплаты'!$C$4:$C$19,MATCH($C15&amp;"|"&amp;$G15,'02_Схемы оплаты'!$H$4:$H$19,0)),0)</f>
        <v>0</v>
      </c>
      <c r="U15" s="11"/>
      <c r="V15" s="28"/>
      <c r="W15" s="8"/>
      <c r="X15" s="8">
        <f>IFERROR(INDEX('02_Схемы оплаты'!$D$4:$D$19,MATCH($C15&amp;"|"&amp;$G15,'02_Схемы оплаты'!$H$4:$H$19,0)),0)</f>
        <v>0</v>
      </c>
      <c r="Y15" s="11"/>
      <c r="Z15" s="28"/>
      <c r="AA15" s="8"/>
      <c r="AB15" s="8">
        <f>IFERROR(INDEX('02_Схемы оплаты'!$E$4:$E$19,MATCH($C15&amp;"|"&amp;$G15,'02_Схемы оплаты'!$H$4:$H$19,0)),0)</f>
        <v>0</v>
      </c>
      <c r="AC15" s="11"/>
      <c r="AD15" s="28"/>
      <c r="AE15" s="8"/>
      <c r="AF15" s="10"/>
      <c r="AG15" s="10"/>
      <c r="AH15" s="25">
        <f>IFERROR(SUMIFS('04_Потребность'!$D$4:$D$103,'04_Потребность'!$A$4:$A$103,A15,'04_Потребность'!$C$4:$C$103,B15),0)</f>
        <v>0</v>
      </c>
      <c r="AI15" s="26" t="str">
        <f>IF(OR(A15="",B15=""),"",IFERROR(SUMIFS('04_Потребность'!$E$4:$E$103,'04_Потребность'!$A$4:$A$103,A15,'04_Потребность'!$C$4:$C$103,B15),0))</f>
        <v/>
      </c>
      <c r="AJ15" s="25" t="str">
        <f>IF(OR(A15="",B15=""),"",IFERROR(SUMIFS('04_Потребность'!$F$4:$F$103,'04_Потребность'!$A$4:$A$103,A15,'04_Потребность'!$C$4:$C$103,B15),0))</f>
        <v/>
      </c>
      <c r="AK15" s="29" t="str">
        <f>IF(OR(A15="",B15=""),"",IFERROR(SUMIFS('04_Потребность'!$G$4:$G$103,'04_Потребность'!$A$4:$A$103,A15,'04_Потребность'!$C$4:$C$103,B15),0))</f>
        <v/>
      </c>
      <c r="AL15" s="25" t="str">
        <f>IF('03_Настройки'!$B$7="Нет","Нет",IF(COUNTIFS('04_Потребность'!$A$4:$A$103,A15,'04_Потребность'!$C$4:$C$103,B15,'04_Потребность'!$H$4:$H$103,"Да")&gt;0,"Да","Нет"))</f>
        <v>Нет</v>
      </c>
      <c r="AM15" s="30">
        <f t="shared" si="0"/>
        <v>0</v>
      </c>
      <c r="AN15" s="30">
        <f t="shared" si="1"/>
        <v>0</v>
      </c>
      <c r="AO15" s="29">
        <f t="shared" si="2"/>
        <v>0</v>
      </c>
      <c r="AP15" s="29">
        <f t="shared" si="3"/>
        <v>0</v>
      </c>
      <c r="AQ15" s="29">
        <f t="shared" si="4"/>
        <v>0</v>
      </c>
      <c r="AR15" s="29">
        <f>IFERROR(E15*'03_Настройки'!$B$4/365*(IF(T15&gt;0,T15*V15*(1+W15)*MAX(0,N15-U15),0)+IF(X15&gt;0,X15*Z15*(1+AA15)*MAX(0,N15-Y15),0)+IF(AB15&gt;0,AB15*AD15*(1+AE15)*MAX(0,N15-AC15),0)),0)</f>
        <v>0</v>
      </c>
      <c r="AS15" s="29">
        <f t="shared" si="5"/>
        <v>0</v>
      </c>
      <c r="AT15" s="31">
        <f t="shared" si="6"/>
        <v>0</v>
      </c>
      <c r="AU15" s="31">
        <f t="shared" si="7"/>
        <v>0</v>
      </c>
      <c r="AV15" s="32">
        <f t="shared" si="8"/>
        <v>0</v>
      </c>
      <c r="AW15" s="29" t="e">
        <f t="shared" si="9"/>
        <v>#VALUE!</v>
      </c>
      <c r="AX15" s="29">
        <f t="shared" si="10"/>
        <v>0</v>
      </c>
      <c r="AY15" s="29" t="e">
        <f t="shared" si="11"/>
        <v>#VALUE!</v>
      </c>
      <c r="AZ15" s="25" t="str">
        <f>IF(AND(A15&lt;&gt;"",B15&lt;&gt;"",C15&lt;&gt;"",D15&gt;0,E15&gt;0,N15&lt;&gt;"",AH15&gt;0,O15="Да",P15="Да",BZ15="ПОЛНО",ABS(AN15-1)&lt;='03_Настройки'!$B$5,IF(T15&gt;0,AND(U15&lt;&gt;"",V15&gt;0),TRUE()),IF(X15&gt;0,AND(Y15&lt;&gt;"",Z15&gt;0),TRUE()),IF(AB15&gt;0,AND(AC15&lt;&gt;"",AD15&gt;0),TRUE()),OR(BM15="",BM15="Активна")),"Да","Нет")</f>
        <v>Нет</v>
      </c>
      <c r="BA15" s="25" t="str">
        <f t="shared" si="12"/>
        <v>Нет</v>
      </c>
      <c r="BB15" s="25" t="str">
        <f t="shared" si="13"/>
        <v/>
      </c>
      <c r="BC15" s="25" t="str">
        <f t="shared" si="14"/>
        <v/>
      </c>
      <c r="BD15" s="25" t="str">
        <f t="shared" si="15"/>
        <v/>
      </c>
      <c r="BE15" s="25" t="str">
        <f>IF(A15="","",IF(BZ15&lt;&gt;"ПОЛНО","BLOCK: неполная форма",IF(O15&lt;&gt;"Да","BLOCK: ввоз не разрешён",IF(P15&lt;&gt;"Да","BLOCK: документы не подтверждены",IF(ABS(AN15-1)&gt;'03_Настройки'!$B$5,"BLOCK: платежи не 100%",IF(AND(BM15&lt;&gt;"",BM15&lt;&gt;"Активна"),"BLOCK: позиция "&amp;BM15,IF(BA15&lt;&gt;"Да","PARTIAL: не покрывает потребность",IF(BB15="ДА","самый дешёвый"&amp;IF(BC15="ДА"," + быстрый","")&amp;IF(BD15="ДА"," + optimal",""),IF(BC15="ДА","самый быстрый"&amp;IF(BD15="ДА"," + optimal",""),IF(BD15="ДА","optimal","Допущен"))))))))))</f>
        <v/>
      </c>
      <c r="BF15" s="25">
        <f>ROW()</f>
        <v>15</v>
      </c>
      <c r="BG15" s="33"/>
      <c r="BH15" s="33"/>
      <c r="BI15" s="33"/>
      <c r="BJ15" s="33"/>
      <c r="BK15" s="33"/>
      <c r="BL15" s="34"/>
      <c r="BM15" s="33"/>
      <c r="BN15" s="35" t="str">
        <f t="shared" si="16"/>
        <v/>
      </c>
      <c r="BO15" s="36" t="str">
        <f t="shared" si="17"/>
        <v/>
      </c>
      <c r="BP15" s="33"/>
      <c r="BQ15" s="38"/>
      <c r="BR15" s="13"/>
      <c r="BS15" s="13"/>
      <c r="BT15" s="13"/>
      <c r="BU15" s="13"/>
      <c r="BV15" s="13"/>
      <c r="BW15" s="13"/>
      <c r="BX15" s="39" t="str">
        <f t="shared" si="18"/>
        <v/>
      </c>
      <c r="BY15" s="47"/>
      <c r="BZ15" s="48" t="str">
        <f t="shared" si="19"/>
        <v/>
      </c>
      <c r="CA15" s="47"/>
      <c r="CB15" s="47"/>
      <c r="CC15" s="47"/>
    </row>
    <row r="16" spans="1:81" ht="14.25" x14ac:dyDescent="0.45">
      <c r="A16" s="10"/>
      <c r="B16" s="10"/>
      <c r="C16" s="10"/>
      <c r="D16" s="10"/>
      <c r="E16" s="10"/>
      <c r="F16" s="10"/>
      <c r="G16" s="10"/>
      <c r="H16" s="25" t="str">
        <f>IFERROR(VLOOKUP(C16,'01_Поставщики'!$A$4:$M$11,2,FALSE()),"")</f>
        <v/>
      </c>
      <c r="I16" s="10"/>
      <c r="J16" s="25" t="str">
        <f>IFERROR(VLOOKUP(C16,'01_Поставщики'!$A$4:$M$11,8,FALSE()),"")</f>
        <v/>
      </c>
      <c r="K16" s="25" t="str">
        <f>IFERROR(VLOOKUP(C16,'01_Поставщики'!$A$4:$M$11,4,FALSE()),"")</f>
        <v/>
      </c>
      <c r="L16" s="25" t="str">
        <f>IFERROR(VLOOKUP(C16,'01_Поставщики'!$A$4:$M$11,10,FALSE()),"")</f>
        <v/>
      </c>
      <c r="M16" s="26" t="str">
        <f>IF(OR(A16="",B16=""),"",IFERROR(SUMIFS('04_Потребность'!$B$4:$B$103,'04_Потребность'!$A$4:$A$103,A16,'04_Потребность'!$C$4:$C$103,B16),0))</f>
        <v/>
      </c>
      <c r="N16" s="11"/>
      <c r="O16" s="10"/>
      <c r="P16" s="10"/>
      <c r="Q16" s="27"/>
      <c r="R16" s="27"/>
      <c r="S16" s="8"/>
      <c r="T16" s="8">
        <f>IFERROR(INDEX('02_Схемы оплаты'!$C$4:$C$19,MATCH($C16&amp;"|"&amp;$G16,'02_Схемы оплаты'!$H$4:$H$19,0)),0)</f>
        <v>0</v>
      </c>
      <c r="U16" s="11"/>
      <c r="V16" s="28"/>
      <c r="W16" s="8"/>
      <c r="X16" s="8">
        <f>IFERROR(INDEX('02_Схемы оплаты'!$D$4:$D$19,MATCH($C16&amp;"|"&amp;$G16,'02_Схемы оплаты'!$H$4:$H$19,0)),0)</f>
        <v>0</v>
      </c>
      <c r="Y16" s="11"/>
      <c r="Z16" s="28"/>
      <c r="AA16" s="8"/>
      <c r="AB16" s="8">
        <f>IFERROR(INDEX('02_Схемы оплаты'!$E$4:$E$19,MATCH($C16&amp;"|"&amp;$G16,'02_Схемы оплаты'!$H$4:$H$19,0)),0)</f>
        <v>0</v>
      </c>
      <c r="AC16" s="11"/>
      <c r="AD16" s="28"/>
      <c r="AE16" s="8"/>
      <c r="AF16" s="10"/>
      <c r="AG16" s="10"/>
      <c r="AH16" s="25">
        <f>IFERROR(SUMIFS('04_Потребность'!$D$4:$D$103,'04_Потребность'!$A$4:$A$103,A16,'04_Потребность'!$C$4:$C$103,B16),0)</f>
        <v>0</v>
      </c>
      <c r="AI16" s="26" t="str">
        <f>IF(OR(A16="",B16=""),"",IFERROR(SUMIFS('04_Потребность'!$E$4:$E$103,'04_Потребность'!$A$4:$A$103,A16,'04_Потребность'!$C$4:$C$103,B16),0))</f>
        <v/>
      </c>
      <c r="AJ16" s="25" t="str">
        <f>IF(OR(A16="",B16=""),"",IFERROR(SUMIFS('04_Потребность'!$F$4:$F$103,'04_Потребность'!$A$4:$A$103,A16,'04_Потребность'!$C$4:$C$103,B16),0))</f>
        <v/>
      </c>
      <c r="AK16" s="29" t="str">
        <f>IF(OR(A16="",B16=""),"",IFERROR(SUMIFS('04_Потребность'!$G$4:$G$103,'04_Потребность'!$A$4:$A$103,A16,'04_Потребность'!$C$4:$C$103,B16),0))</f>
        <v/>
      </c>
      <c r="AL16" s="25" t="str">
        <f>IF('03_Настройки'!$B$7="Нет","Нет",IF(COUNTIFS('04_Потребность'!$A$4:$A$103,A16,'04_Потребность'!$C$4:$C$103,B16,'04_Потребность'!$H$4:$H$103,"Да")&gt;0,"Да","Нет"))</f>
        <v>Нет</v>
      </c>
      <c r="AM16" s="30">
        <f t="shared" si="0"/>
        <v>0</v>
      </c>
      <c r="AN16" s="30">
        <f t="shared" si="1"/>
        <v>0</v>
      </c>
      <c r="AO16" s="29">
        <f t="shared" si="2"/>
        <v>0</v>
      </c>
      <c r="AP16" s="29">
        <f t="shared" si="3"/>
        <v>0</v>
      </c>
      <c r="AQ16" s="29">
        <f t="shared" si="4"/>
        <v>0</v>
      </c>
      <c r="AR16" s="29">
        <f>IFERROR(E16*'03_Настройки'!$B$4/365*(IF(T16&gt;0,T16*V16*(1+W16)*MAX(0,N16-U16),0)+IF(X16&gt;0,X16*Z16*(1+AA16)*MAX(0,N16-Y16),0)+IF(AB16&gt;0,AB16*AD16*(1+AE16)*MAX(0,N16-AC16),0)),0)</f>
        <v>0</v>
      </c>
      <c r="AS16" s="29">
        <f t="shared" si="5"/>
        <v>0</v>
      </c>
      <c r="AT16" s="31">
        <f t="shared" si="6"/>
        <v>0</v>
      </c>
      <c r="AU16" s="31">
        <f t="shared" si="7"/>
        <v>0</v>
      </c>
      <c r="AV16" s="32">
        <f t="shared" si="8"/>
        <v>0</v>
      </c>
      <c r="AW16" s="29" t="e">
        <f t="shared" si="9"/>
        <v>#VALUE!</v>
      </c>
      <c r="AX16" s="29">
        <f t="shared" si="10"/>
        <v>0</v>
      </c>
      <c r="AY16" s="29" t="e">
        <f t="shared" si="11"/>
        <v>#VALUE!</v>
      </c>
      <c r="AZ16" s="25" t="str">
        <f>IF(AND(A16&lt;&gt;"",B16&lt;&gt;"",C16&lt;&gt;"",D16&gt;0,E16&gt;0,N16&lt;&gt;"",AH16&gt;0,O16="Да",P16="Да",BZ16="ПОЛНО",ABS(AN16-1)&lt;='03_Настройки'!$B$5,IF(T16&gt;0,AND(U16&lt;&gt;"",V16&gt;0),TRUE()),IF(X16&gt;0,AND(Y16&lt;&gt;"",Z16&gt;0),TRUE()),IF(AB16&gt;0,AND(AC16&lt;&gt;"",AD16&gt;0),TRUE()),OR(BM16="",BM16="Активна")),"Да","Нет")</f>
        <v>Нет</v>
      </c>
      <c r="BA16" s="25" t="str">
        <f t="shared" si="12"/>
        <v>Нет</v>
      </c>
      <c r="BB16" s="25" t="str">
        <f t="shared" si="13"/>
        <v/>
      </c>
      <c r="BC16" s="25" t="str">
        <f t="shared" si="14"/>
        <v/>
      </c>
      <c r="BD16" s="25" t="str">
        <f t="shared" si="15"/>
        <v/>
      </c>
      <c r="BE16" s="25" t="str">
        <f>IF(A16="","",IF(BZ16&lt;&gt;"ПОЛНО","BLOCK: неполная форма",IF(O16&lt;&gt;"Да","BLOCK: ввоз не разрешён",IF(P16&lt;&gt;"Да","BLOCK: документы не подтверждены",IF(ABS(AN16-1)&gt;'03_Настройки'!$B$5,"BLOCK: платежи не 100%",IF(AND(BM16&lt;&gt;"",BM16&lt;&gt;"Активна"),"BLOCK: позиция "&amp;BM16,IF(BA16&lt;&gt;"Да","PARTIAL: не покрывает потребность",IF(BB16="ДА","самый дешёвый"&amp;IF(BC16="ДА"," + быстрый","")&amp;IF(BD16="ДА"," + optimal",""),IF(BC16="ДА","самый быстрый"&amp;IF(BD16="ДА"," + optimal",""),IF(BD16="ДА","optimal","Допущен"))))))))))</f>
        <v/>
      </c>
      <c r="BF16" s="25">
        <f>ROW()</f>
        <v>16</v>
      </c>
      <c r="BG16" s="33"/>
      <c r="BH16" s="33"/>
      <c r="BI16" s="33"/>
      <c r="BJ16" s="33"/>
      <c r="BK16" s="33"/>
      <c r="BL16" s="34"/>
      <c r="BM16" s="33"/>
      <c r="BN16" s="35" t="str">
        <f t="shared" si="16"/>
        <v/>
      </c>
      <c r="BO16" s="36" t="str">
        <f t="shared" si="17"/>
        <v/>
      </c>
      <c r="BP16" s="33"/>
      <c r="BQ16" s="38"/>
      <c r="BR16" s="13"/>
      <c r="BS16" s="13"/>
      <c r="BT16" s="13"/>
      <c r="BU16" s="13"/>
      <c r="BV16" s="13"/>
      <c r="BW16" s="13"/>
      <c r="BX16" s="39" t="str">
        <f t="shared" si="18"/>
        <v/>
      </c>
      <c r="BY16" s="47"/>
      <c r="BZ16" s="48" t="str">
        <f t="shared" si="19"/>
        <v/>
      </c>
      <c r="CA16" s="47"/>
      <c r="CB16" s="47"/>
      <c r="CC16" s="47"/>
    </row>
    <row r="17" spans="1:81" ht="14.25" x14ac:dyDescent="0.45">
      <c r="A17" s="10"/>
      <c r="B17" s="10"/>
      <c r="C17" s="10"/>
      <c r="D17" s="10"/>
      <c r="E17" s="10"/>
      <c r="F17" s="10"/>
      <c r="G17" s="10"/>
      <c r="H17" s="25" t="str">
        <f>IFERROR(VLOOKUP(C17,'01_Поставщики'!$A$4:$M$11,2,FALSE()),"")</f>
        <v/>
      </c>
      <c r="I17" s="10"/>
      <c r="J17" s="25" t="str">
        <f>IFERROR(VLOOKUP(C17,'01_Поставщики'!$A$4:$M$11,8,FALSE()),"")</f>
        <v/>
      </c>
      <c r="K17" s="25" t="str">
        <f>IFERROR(VLOOKUP(C17,'01_Поставщики'!$A$4:$M$11,4,FALSE()),"")</f>
        <v/>
      </c>
      <c r="L17" s="25" t="str">
        <f>IFERROR(VLOOKUP(C17,'01_Поставщики'!$A$4:$M$11,10,FALSE()),"")</f>
        <v/>
      </c>
      <c r="M17" s="26" t="str">
        <f>IF(OR(A17="",B17=""),"",IFERROR(SUMIFS('04_Потребность'!$B$4:$B$103,'04_Потребность'!$A$4:$A$103,A17,'04_Потребность'!$C$4:$C$103,B17),0))</f>
        <v/>
      </c>
      <c r="N17" s="11"/>
      <c r="O17" s="10"/>
      <c r="P17" s="10"/>
      <c r="Q17" s="27"/>
      <c r="R17" s="27"/>
      <c r="S17" s="8"/>
      <c r="T17" s="8">
        <f>IFERROR(INDEX('02_Схемы оплаты'!$C$4:$C$19,MATCH($C17&amp;"|"&amp;$G17,'02_Схемы оплаты'!$H$4:$H$19,0)),0)</f>
        <v>0</v>
      </c>
      <c r="U17" s="11"/>
      <c r="V17" s="28"/>
      <c r="W17" s="8"/>
      <c r="X17" s="8">
        <f>IFERROR(INDEX('02_Схемы оплаты'!$D$4:$D$19,MATCH($C17&amp;"|"&amp;$G17,'02_Схемы оплаты'!$H$4:$H$19,0)),0)</f>
        <v>0</v>
      </c>
      <c r="Y17" s="11"/>
      <c r="Z17" s="28"/>
      <c r="AA17" s="8"/>
      <c r="AB17" s="8">
        <f>IFERROR(INDEX('02_Схемы оплаты'!$E$4:$E$19,MATCH($C17&amp;"|"&amp;$G17,'02_Схемы оплаты'!$H$4:$H$19,0)),0)</f>
        <v>0</v>
      </c>
      <c r="AC17" s="11"/>
      <c r="AD17" s="28"/>
      <c r="AE17" s="8"/>
      <c r="AF17" s="10"/>
      <c r="AG17" s="10"/>
      <c r="AH17" s="25">
        <f>IFERROR(SUMIFS('04_Потребность'!$D$4:$D$103,'04_Потребность'!$A$4:$A$103,A17,'04_Потребность'!$C$4:$C$103,B17),0)</f>
        <v>0</v>
      </c>
      <c r="AI17" s="26" t="str">
        <f>IF(OR(A17="",B17=""),"",IFERROR(SUMIFS('04_Потребность'!$E$4:$E$103,'04_Потребность'!$A$4:$A$103,A17,'04_Потребность'!$C$4:$C$103,B17),0))</f>
        <v/>
      </c>
      <c r="AJ17" s="25" t="str">
        <f>IF(OR(A17="",B17=""),"",IFERROR(SUMIFS('04_Потребность'!$F$4:$F$103,'04_Потребность'!$A$4:$A$103,A17,'04_Потребность'!$C$4:$C$103,B17),0))</f>
        <v/>
      </c>
      <c r="AK17" s="29" t="str">
        <f>IF(OR(A17="",B17=""),"",IFERROR(SUMIFS('04_Потребность'!$G$4:$G$103,'04_Потребность'!$A$4:$A$103,A17,'04_Потребность'!$C$4:$C$103,B17),0))</f>
        <v/>
      </c>
      <c r="AL17" s="25" t="str">
        <f>IF('03_Настройки'!$B$7="Нет","Нет",IF(COUNTIFS('04_Потребность'!$A$4:$A$103,A17,'04_Потребность'!$C$4:$C$103,B17,'04_Потребность'!$H$4:$H$103,"Да")&gt;0,"Да","Нет"))</f>
        <v>Нет</v>
      </c>
      <c r="AM17" s="30">
        <f t="shared" si="0"/>
        <v>0</v>
      </c>
      <c r="AN17" s="30">
        <f t="shared" si="1"/>
        <v>0</v>
      </c>
      <c r="AO17" s="29">
        <f t="shared" si="2"/>
        <v>0</v>
      </c>
      <c r="AP17" s="29">
        <f t="shared" si="3"/>
        <v>0</v>
      </c>
      <c r="AQ17" s="29">
        <f t="shared" si="4"/>
        <v>0</v>
      </c>
      <c r="AR17" s="29">
        <f>IFERROR(E17*'03_Настройки'!$B$4/365*(IF(T17&gt;0,T17*V17*(1+W17)*MAX(0,N17-U17),0)+IF(X17&gt;0,X17*Z17*(1+AA17)*MAX(0,N17-Y17),0)+IF(AB17&gt;0,AB17*AD17*(1+AE17)*MAX(0,N17-AC17),0)),0)</f>
        <v>0</v>
      </c>
      <c r="AS17" s="29">
        <f t="shared" si="5"/>
        <v>0</v>
      </c>
      <c r="AT17" s="31">
        <f t="shared" si="6"/>
        <v>0</v>
      </c>
      <c r="AU17" s="31">
        <f t="shared" si="7"/>
        <v>0</v>
      </c>
      <c r="AV17" s="32">
        <f t="shared" si="8"/>
        <v>0</v>
      </c>
      <c r="AW17" s="29" t="e">
        <f t="shared" si="9"/>
        <v>#VALUE!</v>
      </c>
      <c r="AX17" s="29">
        <f t="shared" si="10"/>
        <v>0</v>
      </c>
      <c r="AY17" s="29" t="e">
        <f t="shared" si="11"/>
        <v>#VALUE!</v>
      </c>
      <c r="AZ17" s="25" t="str">
        <f>IF(AND(A17&lt;&gt;"",B17&lt;&gt;"",C17&lt;&gt;"",D17&gt;0,E17&gt;0,N17&lt;&gt;"",AH17&gt;0,O17="Да",P17="Да",BZ17="ПОЛНО",ABS(AN17-1)&lt;='03_Настройки'!$B$5,IF(T17&gt;0,AND(U17&lt;&gt;"",V17&gt;0),TRUE()),IF(X17&gt;0,AND(Y17&lt;&gt;"",Z17&gt;0),TRUE()),IF(AB17&gt;0,AND(AC17&lt;&gt;"",AD17&gt;0),TRUE()),OR(BM17="",BM17="Активна")),"Да","Нет")</f>
        <v>Нет</v>
      </c>
      <c r="BA17" s="25" t="str">
        <f t="shared" si="12"/>
        <v>Нет</v>
      </c>
      <c r="BB17" s="25" t="str">
        <f t="shared" si="13"/>
        <v/>
      </c>
      <c r="BC17" s="25" t="str">
        <f t="shared" si="14"/>
        <v/>
      </c>
      <c r="BD17" s="25" t="str">
        <f t="shared" si="15"/>
        <v/>
      </c>
      <c r="BE17" s="25" t="str">
        <f>IF(A17="","",IF(BZ17&lt;&gt;"ПОЛНО","BLOCK: неполная форма",IF(O17&lt;&gt;"Да","BLOCK: ввоз не разрешён",IF(P17&lt;&gt;"Да","BLOCK: документы не подтверждены",IF(ABS(AN17-1)&gt;'03_Настройки'!$B$5,"BLOCK: платежи не 100%",IF(AND(BM17&lt;&gt;"",BM17&lt;&gt;"Активна"),"BLOCK: позиция "&amp;BM17,IF(BA17&lt;&gt;"Да","PARTIAL: не покрывает потребность",IF(BB17="ДА","самый дешёвый"&amp;IF(BC17="ДА"," + быстрый","")&amp;IF(BD17="ДА"," + optimal",""),IF(BC17="ДА","самый быстрый"&amp;IF(BD17="ДА"," + optimal",""),IF(BD17="ДА","optimal","Допущен"))))))))))</f>
        <v/>
      </c>
      <c r="BF17" s="25">
        <f>ROW()</f>
        <v>17</v>
      </c>
      <c r="BG17" s="33"/>
      <c r="BH17" s="33"/>
      <c r="BI17" s="33"/>
      <c r="BJ17" s="33"/>
      <c r="BK17" s="33"/>
      <c r="BL17" s="34"/>
      <c r="BM17" s="33"/>
      <c r="BN17" s="35" t="str">
        <f t="shared" si="16"/>
        <v/>
      </c>
      <c r="BO17" s="36" t="str">
        <f t="shared" si="17"/>
        <v/>
      </c>
      <c r="BP17" s="33"/>
      <c r="BQ17" s="38"/>
      <c r="BR17" s="13"/>
      <c r="BS17" s="13"/>
      <c r="BT17" s="13"/>
      <c r="BU17" s="13"/>
      <c r="BV17" s="13"/>
      <c r="BW17" s="13"/>
      <c r="BX17" s="39" t="str">
        <f t="shared" si="18"/>
        <v/>
      </c>
      <c r="BY17" s="47"/>
      <c r="BZ17" s="48" t="str">
        <f t="shared" si="19"/>
        <v/>
      </c>
      <c r="CA17" s="47"/>
      <c r="CB17" s="47"/>
      <c r="CC17" s="47"/>
    </row>
    <row r="18" spans="1:81" ht="14.25" x14ac:dyDescent="0.45">
      <c r="A18" s="10"/>
      <c r="B18" s="10"/>
      <c r="C18" s="10"/>
      <c r="D18" s="10"/>
      <c r="E18" s="10"/>
      <c r="F18" s="10"/>
      <c r="G18" s="10"/>
      <c r="H18" s="25" t="str">
        <f>IFERROR(VLOOKUP(C18,'01_Поставщики'!$A$4:$M$11,2,FALSE()),"")</f>
        <v/>
      </c>
      <c r="I18" s="10"/>
      <c r="J18" s="25" t="str">
        <f>IFERROR(VLOOKUP(C18,'01_Поставщики'!$A$4:$M$11,8,FALSE()),"")</f>
        <v/>
      </c>
      <c r="K18" s="25" t="str">
        <f>IFERROR(VLOOKUP(C18,'01_Поставщики'!$A$4:$M$11,4,FALSE()),"")</f>
        <v/>
      </c>
      <c r="L18" s="25" t="str">
        <f>IFERROR(VLOOKUP(C18,'01_Поставщики'!$A$4:$M$11,10,FALSE()),"")</f>
        <v/>
      </c>
      <c r="M18" s="26" t="str">
        <f>IF(OR(A18="",B18=""),"",IFERROR(SUMIFS('04_Потребность'!$B$4:$B$103,'04_Потребность'!$A$4:$A$103,A18,'04_Потребность'!$C$4:$C$103,B18),0))</f>
        <v/>
      </c>
      <c r="N18" s="11"/>
      <c r="O18" s="10"/>
      <c r="P18" s="10"/>
      <c r="Q18" s="27"/>
      <c r="R18" s="27"/>
      <c r="S18" s="8"/>
      <c r="T18" s="8">
        <f>IFERROR(INDEX('02_Схемы оплаты'!$C$4:$C$19,MATCH($C18&amp;"|"&amp;$G18,'02_Схемы оплаты'!$H$4:$H$19,0)),0)</f>
        <v>0</v>
      </c>
      <c r="U18" s="11"/>
      <c r="V18" s="28"/>
      <c r="W18" s="8"/>
      <c r="X18" s="8">
        <f>IFERROR(INDEX('02_Схемы оплаты'!$D$4:$D$19,MATCH($C18&amp;"|"&amp;$G18,'02_Схемы оплаты'!$H$4:$H$19,0)),0)</f>
        <v>0</v>
      </c>
      <c r="Y18" s="11"/>
      <c r="Z18" s="28"/>
      <c r="AA18" s="8"/>
      <c r="AB18" s="8">
        <f>IFERROR(INDEX('02_Схемы оплаты'!$E$4:$E$19,MATCH($C18&amp;"|"&amp;$G18,'02_Схемы оплаты'!$H$4:$H$19,0)),0)</f>
        <v>0</v>
      </c>
      <c r="AC18" s="11"/>
      <c r="AD18" s="28"/>
      <c r="AE18" s="8"/>
      <c r="AF18" s="10"/>
      <c r="AG18" s="10"/>
      <c r="AH18" s="25">
        <f>IFERROR(SUMIFS('04_Потребность'!$D$4:$D$103,'04_Потребность'!$A$4:$A$103,A18,'04_Потребность'!$C$4:$C$103,B18),0)</f>
        <v>0</v>
      </c>
      <c r="AI18" s="26" t="str">
        <f>IF(OR(A18="",B18=""),"",IFERROR(SUMIFS('04_Потребность'!$E$4:$E$103,'04_Потребность'!$A$4:$A$103,A18,'04_Потребность'!$C$4:$C$103,B18),0))</f>
        <v/>
      </c>
      <c r="AJ18" s="25" t="str">
        <f>IF(OR(A18="",B18=""),"",IFERROR(SUMIFS('04_Потребность'!$F$4:$F$103,'04_Потребность'!$A$4:$A$103,A18,'04_Потребность'!$C$4:$C$103,B18),0))</f>
        <v/>
      </c>
      <c r="AK18" s="29" t="str">
        <f>IF(OR(A18="",B18=""),"",IFERROR(SUMIFS('04_Потребность'!$G$4:$G$103,'04_Потребность'!$A$4:$A$103,A18,'04_Потребность'!$C$4:$C$103,B18),0))</f>
        <v/>
      </c>
      <c r="AL18" s="25" t="str">
        <f>IF('03_Настройки'!$B$7="Нет","Нет",IF(COUNTIFS('04_Потребность'!$A$4:$A$103,A18,'04_Потребность'!$C$4:$C$103,B18,'04_Потребность'!$H$4:$H$103,"Да")&gt;0,"Да","Нет"))</f>
        <v>Нет</v>
      </c>
      <c r="AM18" s="30">
        <f t="shared" si="0"/>
        <v>0</v>
      </c>
      <c r="AN18" s="30">
        <f t="shared" si="1"/>
        <v>0</v>
      </c>
      <c r="AO18" s="29">
        <f t="shared" si="2"/>
        <v>0</v>
      </c>
      <c r="AP18" s="29">
        <f t="shared" si="3"/>
        <v>0</v>
      </c>
      <c r="AQ18" s="29">
        <f t="shared" si="4"/>
        <v>0</v>
      </c>
      <c r="AR18" s="29">
        <f>IFERROR(E18*'03_Настройки'!$B$4/365*(IF(T18&gt;0,T18*V18*(1+W18)*MAX(0,N18-U18),0)+IF(X18&gt;0,X18*Z18*(1+AA18)*MAX(0,N18-Y18),0)+IF(AB18&gt;0,AB18*AD18*(1+AE18)*MAX(0,N18-AC18),0)),0)</f>
        <v>0</v>
      </c>
      <c r="AS18" s="29">
        <f t="shared" si="5"/>
        <v>0</v>
      </c>
      <c r="AT18" s="31">
        <f t="shared" si="6"/>
        <v>0</v>
      </c>
      <c r="AU18" s="31">
        <f t="shared" si="7"/>
        <v>0</v>
      </c>
      <c r="AV18" s="32">
        <f t="shared" si="8"/>
        <v>0</v>
      </c>
      <c r="AW18" s="29" t="e">
        <f t="shared" si="9"/>
        <v>#VALUE!</v>
      </c>
      <c r="AX18" s="29">
        <f t="shared" si="10"/>
        <v>0</v>
      </c>
      <c r="AY18" s="29" t="e">
        <f t="shared" si="11"/>
        <v>#VALUE!</v>
      </c>
      <c r="AZ18" s="25" t="str">
        <f>IF(AND(A18&lt;&gt;"",B18&lt;&gt;"",C18&lt;&gt;"",D18&gt;0,E18&gt;0,N18&lt;&gt;"",AH18&gt;0,O18="Да",P18="Да",BZ18="ПОЛНО",ABS(AN18-1)&lt;='03_Настройки'!$B$5,IF(T18&gt;0,AND(U18&lt;&gt;"",V18&gt;0),TRUE()),IF(X18&gt;0,AND(Y18&lt;&gt;"",Z18&gt;0),TRUE()),IF(AB18&gt;0,AND(AC18&lt;&gt;"",AD18&gt;0),TRUE()),OR(BM18="",BM18="Активна")),"Да","Нет")</f>
        <v>Нет</v>
      </c>
      <c r="BA18" s="25" t="str">
        <f t="shared" si="12"/>
        <v>Нет</v>
      </c>
      <c r="BB18" s="25" t="str">
        <f t="shared" si="13"/>
        <v/>
      </c>
      <c r="BC18" s="25" t="str">
        <f t="shared" si="14"/>
        <v/>
      </c>
      <c r="BD18" s="25" t="str">
        <f t="shared" si="15"/>
        <v/>
      </c>
      <c r="BE18" s="25" t="str">
        <f>IF(A18="","",IF(BZ18&lt;&gt;"ПОЛНО","BLOCK: неполная форма",IF(O18&lt;&gt;"Да","BLOCK: ввоз не разрешён",IF(P18&lt;&gt;"Да","BLOCK: документы не подтверждены",IF(ABS(AN18-1)&gt;'03_Настройки'!$B$5,"BLOCK: платежи не 100%",IF(AND(BM18&lt;&gt;"",BM18&lt;&gt;"Активна"),"BLOCK: позиция "&amp;BM18,IF(BA18&lt;&gt;"Да","PARTIAL: не покрывает потребность",IF(BB18="ДА","самый дешёвый"&amp;IF(BC18="ДА"," + быстрый","")&amp;IF(BD18="ДА"," + optimal",""),IF(BC18="ДА","самый быстрый"&amp;IF(BD18="ДА"," + optimal",""),IF(BD18="ДА","optimal","Допущен"))))))))))</f>
        <v/>
      </c>
      <c r="BF18" s="25">
        <f>ROW()</f>
        <v>18</v>
      </c>
      <c r="BG18" s="33"/>
      <c r="BH18" s="33"/>
      <c r="BI18" s="33"/>
      <c r="BJ18" s="33"/>
      <c r="BK18" s="33"/>
      <c r="BL18" s="34"/>
      <c r="BM18" s="33"/>
      <c r="BN18" s="35" t="str">
        <f t="shared" si="16"/>
        <v/>
      </c>
      <c r="BO18" s="36" t="str">
        <f t="shared" si="17"/>
        <v/>
      </c>
      <c r="BP18" s="33"/>
      <c r="BQ18" s="38"/>
      <c r="BR18" s="13"/>
      <c r="BS18" s="13"/>
      <c r="BT18" s="13"/>
      <c r="BU18" s="13"/>
      <c r="BV18" s="13"/>
      <c r="BW18" s="13"/>
      <c r="BX18" s="39" t="str">
        <f t="shared" si="18"/>
        <v/>
      </c>
      <c r="BY18" s="47"/>
      <c r="BZ18" s="48" t="str">
        <f t="shared" si="19"/>
        <v/>
      </c>
      <c r="CA18" s="47"/>
      <c r="CB18" s="47"/>
      <c r="CC18" s="47"/>
    </row>
    <row r="19" spans="1:81" ht="14.25" x14ac:dyDescent="0.45">
      <c r="A19" s="10"/>
      <c r="B19" s="10"/>
      <c r="C19" s="10"/>
      <c r="D19" s="10"/>
      <c r="E19" s="10"/>
      <c r="F19" s="10"/>
      <c r="G19" s="10"/>
      <c r="H19" s="25" t="str">
        <f>IFERROR(VLOOKUP(C19,'01_Поставщики'!$A$4:$M$11,2,FALSE()),"")</f>
        <v/>
      </c>
      <c r="I19" s="10"/>
      <c r="J19" s="25" t="str">
        <f>IFERROR(VLOOKUP(C19,'01_Поставщики'!$A$4:$M$11,8,FALSE()),"")</f>
        <v/>
      </c>
      <c r="K19" s="25" t="str">
        <f>IFERROR(VLOOKUP(C19,'01_Поставщики'!$A$4:$M$11,4,FALSE()),"")</f>
        <v/>
      </c>
      <c r="L19" s="25" t="str">
        <f>IFERROR(VLOOKUP(C19,'01_Поставщики'!$A$4:$M$11,10,FALSE()),"")</f>
        <v/>
      </c>
      <c r="M19" s="26" t="str">
        <f>IF(OR(A19="",B19=""),"",IFERROR(SUMIFS('04_Потребность'!$B$4:$B$103,'04_Потребность'!$A$4:$A$103,A19,'04_Потребность'!$C$4:$C$103,B19),0))</f>
        <v/>
      </c>
      <c r="N19" s="11"/>
      <c r="O19" s="10"/>
      <c r="P19" s="10"/>
      <c r="Q19" s="27"/>
      <c r="R19" s="27"/>
      <c r="S19" s="8"/>
      <c r="T19" s="8">
        <f>IFERROR(INDEX('02_Схемы оплаты'!$C$4:$C$19,MATCH($C19&amp;"|"&amp;$G19,'02_Схемы оплаты'!$H$4:$H$19,0)),0)</f>
        <v>0</v>
      </c>
      <c r="U19" s="11"/>
      <c r="V19" s="28"/>
      <c r="W19" s="8"/>
      <c r="X19" s="8">
        <f>IFERROR(INDEX('02_Схемы оплаты'!$D$4:$D$19,MATCH($C19&amp;"|"&amp;$G19,'02_Схемы оплаты'!$H$4:$H$19,0)),0)</f>
        <v>0</v>
      </c>
      <c r="Y19" s="11"/>
      <c r="Z19" s="28"/>
      <c r="AA19" s="8"/>
      <c r="AB19" s="8">
        <f>IFERROR(INDEX('02_Схемы оплаты'!$E$4:$E$19,MATCH($C19&amp;"|"&amp;$G19,'02_Схемы оплаты'!$H$4:$H$19,0)),0)</f>
        <v>0</v>
      </c>
      <c r="AC19" s="11"/>
      <c r="AD19" s="28"/>
      <c r="AE19" s="8"/>
      <c r="AF19" s="10"/>
      <c r="AG19" s="10"/>
      <c r="AH19" s="25">
        <f>IFERROR(SUMIFS('04_Потребность'!$D$4:$D$103,'04_Потребность'!$A$4:$A$103,A19,'04_Потребность'!$C$4:$C$103,B19),0)</f>
        <v>0</v>
      </c>
      <c r="AI19" s="26" t="str">
        <f>IF(OR(A19="",B19=""),"",IFERROR(SUMIFS('04_Потребность'!$E$4:$E$103,'04_Потребность'!$A$4:$A$103,A19,'04_Потребность'!$C$4:$C$103,B19),0))</f>
        <v/>
      </c>
      <c r="AJ19" s="25" t="str">
        <f>IF(OR(A19="",B19=""),"",IFERROR(SUMIFS('04_Потребность'!$F$4:$F$103,'04_Потребность'!$A$4:$A$103,A19,'04_Потребность'!$C$4:$C$103,B19),0))</f>
        <v/>
      </c>
      <c r="AK19" s="29" t="str">
        <f>IF(OR(A19="",B19=""),"",IFERROR(SUMIFS('04_Потребность'!$G$4:$G$103,'04_Потребность'!$A$4:$A$103,A19,'04_Потребность'!$C$4:$C$103,B19),0))</f>
        <v/>
      </c>
      <c r="AL19" s="25" t="str">
        <f>IF('03_Настройки'!$B$7="Нет","Нет",IF(COUNTIFS('04_Потребность'!$A$4:$A$103,A19,'04_Потребность'!$C$4:$C$103,B19,'04_Потребность'!$H$4:$H$103,"Да")&gt;0,"Да","Нет"))</f>
        <v>Нет</v>
      </c>
      <c r="AM19" s="30">
        <f t="shared" si="0"/>
        <v>0</v>
      </c>
      <c r="AN19" s="30">
        <f t="shared" si="1"/>
        <v>0</v>
      </c>
      <c r="AO19" s="29">
        <f t="shared" si="2"/>
        <v>0</v>
      </c>
      <c r="AP19" s="29">
        <f t="shared" si="3"/>
        <v>0</v>
      </c>
      <c r="AQ19" s="29">
        <f t="shared" si="4"/>
        <v>0</v>
      </c>
      <c r="AR19" s="29">
        <f>IFERROR(E19*'03_Настройки'!$B$4/365*(IF(T19&gt;0,T19*V19*(1+W19)*MAX(0,N19-U19),0)+IF(X19&gt;0,X19*Z19*(1+AA19)*MAX(0,N19-Y19),0)+IF(AB19&gt;0,AB19*AD19*(1+AE19)*MAX(0,N19-AC19),0)),0)</f>
        <v>0</v>
      </c>
      <c r="AS19" s="29">
        <f t="shared" si="5"/>
        <v>0</v>
      </c>
      <c r="AT19" s="31">
        <f t="shared" si="6"/>
        <v>0</v>
      </c>
      <c r="AU19" s="31">
        <f t="shared" si="7"/>
        <v>0</v>
      </c>
      <c r="AV19" s="32">
        <f t="shared" si="8"/>
        <v>0</v>
      </c>
      <c r="AW19" s="29" t="e">
        <f t="shared" si="9"/>
        <v>#VALUE!</v>
      </c>
      <c r="AX19" s="29">
        <f t="shared" si="10"/>
        <v>0</v>
      </c>
      <c r="AY19" s="29" t="e">
        <f t="shared" si="11"/>
        <v>#VALUE!</v>
      </c>
      <c r="AZ19" s="25" t="str">
        <f>IF(AND(A19&lt;&gt;"",B19&lt;&gt;"",C19&lt;&gt;"",D19&gt;0,E19&gt;0,N19&lt;&gt;"",AH19&gt;0,O19="Да",P19="Да",BZ19="ПОЛНО",ABS(AN19-1)&lt;='03_Настройки'!$B$5,IF(T19&gt;0,AND(U19&lt;&gt;"",V19&gt;0),TRUE()),IF(X19&gt;0,AND(Y19&lt;&gt;"",Z19&gt;0),TRUE()),IF(AB19&gt;0,AND(AC19&lt;&gt;"",AD19&gt;0),TRUE()),OR(BM19="",BM19="Активна")),"Да","Нет")</f>
        <v>Нет</v>
      </c>
      <c r="BA19" s="25" t="str">
        <f t="shared" si="12"/>
        <v>Нет</v>
      </c>
      <c r="BB19" s="25" t="str">
        <f t="shared" si="13"/>
        <v/>
      </c>
      <c r="BC19" s="25" t="str">
        <f t="shared" si="14"/>
        <v/>
      </c>
      <c r="BD19" s="25" t="str">
        <f t="shared" si="15"/>
        <v/>
      </c>
      <c r="BE19" s="25" t="str">
        <f>IF(A19="","",IF(BZ19&lt;&gt;"ПОЛНО","BLOCK: неполная форма",IF(O19&lt;&gt;"Да","BLOCK: ввоз не разрешён",IF(P19&lt;&gt;"Да","BLOCK: документы не подтверждены",IF(ABS(AN19-1)&gt;'03_Настройки'!$B$5,"BLOCK: платежи не 100%",IF(AND(BM19&lt;&gt;"",BM19&lt;&gt;"Активна"),"BLOCK: позиция "&amp;BM19,IF(BA19&lt;&gt;"Да","PARTIAL: не покрывает потребность",IF(BB19="ДА","самый дешёвый"&amp;IF(BC19="ДА"," + быстрый","")&amp;IF(BD19="ДА"," + optimal",""),IF(BC19="ДА","самый быстрый"&amp;IF(BD19="ДА"," + optimal",""),IF(BD19="ДА","optimal","Допущен"))))))))))</f>
        <v/>
      </c>
      <c r="BF19" s="25">
        <f>ROW()</f>
        <v>19</v>
      </c>
      <c r="BG19" s="33"/>
      <c r="BH19" s="33"/>
      <c r="BI19" s="33"/>
      <c r="BJ19" s="33"/>
      <c r="BK19" s="33"/>
      <c r="BL19" s="34"/>
      <c r="BM19" s="33"/>
      <c r="BN19" s="35" t="str">
        <f t="shared" si="16"/>
        <v/>
      </c>
      <c r="BO19" s="36" t="str">
        <f t="shared" si="17"/>
        <v/>
      </c>
      <c r="BP19" s="33"/>
      <c r="BQ19" s="38"/>
      <c r="BR19" s="13"/>
      <c r="BS19" s="13"/>
      <c r="BT19" s="13"/>
      <c r="BU19" s="13"/>
      <c r="BV19" s="13"/>
      <c r="BW19" s="13"/>
      <c r="BX19" s="39" t="str">
        <f t="shared" si="18"/>
        <v/>
      </c>
      <c r="BY19" s="47"/>
      <c r="BZ19" s="48" t="str">
        <f t="shared" si="19"/>
        <v/>
      </c>
      <c r="CA19" s="47"/>
      <c r="CB19" s="47"/>
      <c r="CC19" s="47"/>
    </row>
    <row r="20" spans="1:81" ht="14.25" x14ac:dyDescent="0.45">
      <c r="A20" s="10"/>
      <c r="B20" s="10"/>
      <c r="C20" s="10"/>
      <c r="D20" s="10"/>
      <c r="E20" s="10"/>
      <c r="F20" s="10"/>
      <c r="G20" s="10"/>
      <c r="H20" s="25" t="str">
        <f>IFERROR(VLOOKUP(C20,'01_Поставщики'!$A$4:$M$11,2,FALSE()),"")</f>
        <v/>
      </c>
      <c r="I20" s="10"/>
      <c r="J20" s="25" t="str">
        <f>IFERROR(VLOOKUP(C20,'01_Поставщики'!$A$4:$M$11,8,FALSE()),"")</f>
        <v/>
      </c>
      <c r="K20" s="25" t="str">
        <f>IFERROR(VLOOKUP(C20,'01_Поставщики'!$A$4:$M$11,4,FALSE()),"")</f>
        <v/>
      </c>
      <c r="L20" s="25" t="str">
        <f>IFERROR(VLOOKUP(C20,'01_Поставщики'!$A$4:$M$11,10,FALSE()),"")</f>
        <v/>
      </c>
      <c r="M20" s="26" t="str">
        <f>IF(OR(A20="",B20=""),"",IFERROR(SUMIFS('04_Потребность'!$B$4:$B$103,'04_Потребность'!$A$4:$A$103,A20,'04_Потребность'!$C$4:$C$103,B20),0))</f>
        <v/>
      </c>
      <c r="N20" s="11"/>
      <c r="O20" s="10"/>
      <c r="P20" s="10"/>
      <c r="Q20" s="27"/>
      <c r="R20" s="27"/>
      <c r="S20" s="8"/>
      <c r="T20" s="8">
        <f>IFERROR(INDEX('02_Схемы оплаты'!$C$4:$C$19,MATCH($C20&amp;"|"&amp;$G20,'02_Схемы оплаты'!$H$4:$H$19,0)),0)</f>
        <v>0</v>
      </c>
      <c r="U20" s="11"/>
      <c r="V20" s="28"/>
      <c r="W20" s="8"/>
      <c r="X20" s="8">
        <f>IFERROR(INDEX('02_Схемы оплаты'!$D$4:$D$19,MATCH($C20&amp;"|"&amp;$G20,'02_Схемы оплаты'!$H$4:$H$19,0)),0)</f>
        <v>0</v>
      </c>
      <c r="Y20" s="11"/>
      <c r="Z20" s="28"/>
      <c r="AA20" s="8"/>
      <c r="AB20" s="8">
        <f>IFERROR(INDEX('02_Схемы оплаты'!$E$4:$E$19,MATCH($C20&amp;"|"&amp;$G20,'02_Схемы оплаты'!$H$4:$H$19,0)),0)</f>
        <v>0</v>
      </c>
      <c r="AC20" s="11"/>
      <c r="AD20" s="28"/>
      <c r="AE20" s="8"/>
      <c r="AF20" s="10"/>
      <c r="AG20" s="10"/>
      <c r="AH20" s="25">
        <f>IFERROR(SUMIFS('04_Потребность'!$D$4:$D$103,'04_Потребность'!$A$4:$A$103,A20,'04_Потребность'!$C$4:$C$103,B20),0)</f>
        <v>0</v>
      </c>
      <c r="AI20" s="26" t="str">
        <f>IF(OR(A20="",B20=""),"",IFERROR(SUMIFS('04_Потребность'!$E$4:$E$103,'04_Потребность'!$A$4:$A$103,A20,'04_Потребность'!$C$4:$C$103,B20),0))</f>
        <v/>
      </c>
      <c r="AJ20" s="25" t="str">
        <f>IF(OR(A20="",B20=""),"",IFERROR(SUMIFS('04_Потребность'!$F$4:$F$103,'04_Потребность'!$A$4:$A$103,A20,'04_Потребность'!$C$4:$C$103,B20),0))</f>
        <v/>
      </c>
      <c r="AK20" s="29" t="str">
        <f>IF(OR(A20="",B20=""),"",IFERROR(SUMIFS('04_Потребность'!$G$4:$G$103,'04_Потребность'!$A$4:$A$103,A20,'04_Потребность'!$C$4:$C$103,B20),0))</f>
        <v/>
      </c>
      <c r="AL20" s="25" t="str">
        <f>IF('03_Настройки'!$B$7="Нет","Нет",IF(COUNTIFS('04_Потребность'!$A$4:$A$103,A20,'04_Потребность'!$C$4:$C$103,B20,'04_Потребность'!$H$4:$H$103,"Да")&gt;0,"Да","Нет"))</f>
        <v>Нет</v>
      </c>
      <c r="AM20" s="30">
        <f t="shared" si="0"/>
        <v>0</v>
      </c>
      <c r="AN20" s="30">
        <f t="shared" si="1"/>
        <v>0</v>
      </c>
      <c r="AO20" s="29">
        <f t="shared" si="2"/>
        <v>0</v>
      </c>
      <c r="AP20" s="29">
        <f t="shared" si="3"/>
        <v>0</v>
      </c>
      <c r="AQ20" s="29">
        <f t="shared" si="4"/>
        <v>0</v>
      </c>
      <c r="AR20" s="29">
        <f>IFERROR(E20*'03_Настройки'!$B$4/365*(IF(T20&gt;0,T20*V20*(1+W20)*MAX(0,N20-U20),0)+IF(X20&gt;0,X20*Z20*(1+AA20)*MAX(0,N20-Y20),0)+IF(AB20&gt;0,AB20*AD20*(1+AE20)*MAX(0,N20-AC20),0)),0)</f>
        <v>0</v>
      </c>
      <c r="AS20" s="29">
        <f t="shared" si="5"/>
        <v>0</v>
      </c>
      <c r="AT20" s="31">
        <f t="shared" si="6"/>
        <v>0</v>
      </c>
      <c r="AU20" s="31">
        <f t="shared" si="7"/>
        <v>0</v>
      </c>
      <c r="AV20" s="32">
        <f t="shared" si="8"/>
        <v>0</v>
      </c>
      <c r="AW20" s="29" t="e">
        <f t="shared" si="9"/>
        <v>#VALUE!</v>
      </c>
      <c r="AX20" s="29">
        <f t="shared" si="10"/>
        <v>0</v>
      </c>
      <c r="AY20" s="29" t="e">
        <f t="shared" si="11"/>
        <v>#VALUE!</v>
      </c>
      <c r="AZ20" s="25" t="str">
        <f>IF(AND(A20&lt;&gt;"",B20&lt;&gt;"",C20&lt;&gt;"",D20&gt;0,E20&gt;0,N20&lt;&gt;"",AH20&gt;0,O20="Да",P20="Да",BZ20="ПОЛНО",ABS(AN20-1)&lt;='03_Настройки'!$B$5,IF(T20&gt;0,AND(U20&lt;&gt;"",V20&gt;0),TRUE()),IF(X20&gt;0,AND(Y20&lt;&gt;"",Z20&gt;0),TRUE()),IF(AB20&gt;0,AND(AC20&lt;&gt;"",AD20&gt;0),TRUE()),OR(BM20="",BM20="Активна")),"Да","Нет")</f>
        <v>Нет</v>
      </c>
      <c r="BA20" s="25" t="str">
        <f t="shared" si="12"/>
        <v>Нет</v>
      </c>
      <c r="BB20" s="25" t="str">
        <f t="shared" si="13"/>
        <v/>
      </c>
      <c r="BC20" s="25" t="str">
        <f t="shared" si="14"/>
        <v/>
      </c>
      <c r="BD20" s="25" t="str">
        <f t="shared" si="15"/>
        <v/>
      </c>
      <c r="BE20" s="25" t="str">
        <f>IF(A20="","",IF(BZ20&lt;&gt;"ПОЛНО","BLOCK: неполная форма",IF(O20&lt;&gt;"Да","BLOCK: ввоз не разрешён",IF(P20&lt;&gt;"Да","BLOCK: документы не подтверждены",IF(ABS(AN20-1)&gt;'03_Настройки'!$B$5,"BLOCK: платежи не 100%",IF(AND(BM20&lt;&gt;"",BM20&lt;&gt;"Активна"),"BLOCK: позиция "&amp;BM20,IF(BA20&lt;&gt;"Да","PARTIAL: не покрывает потребность",IF(BB20="ДА","самый дешёвый"&amp;IF(BC20="ДА"," + быстрый","")&amp;IF(BD20="ДА"," + optimal",""),IF(BC20="ДА","самый быстрый"&amp;IF(BD20="ДА"," + optimal",""),IF(BD20="ДА","optimal","Допущен"))))))))))</f>
        <v/>
      </c>
      <c r="BF20" s="25">
        <f>ROW()</f>
        <v>20</v>
      </c>
      <c r="BG20" s="33"/>
      <c r="BH20" s="33"/>
      <c r="BI20" s="33"/>
      <c r="BJ20" s="33"/>
      <c r="BK20" s="33"/>
      <c r="BL20" s="34"/>
      <c r="BM20" s="33"/>
      <c r="BN20" s="35" t="str">
        <f t="shared" si="16"/>
        <v/>
      </c>
      <c r="BO20" s="36" t="str">
        <f t="shared" si="17"/>
        <v/>
      </c>
      <c r="BP20" s="33"/>
      <c r="BQ20" s="38"/>
      <c r="BR20" s="13"/>
      <c r="BS20" s="13"/>
      <c r="BT20" s="13"/>
      <c r="BU20" s="13"/>
      <c r="BV20" s="13"/>
      <c r="BW20" s="13"/>
      <c r="BX20" s="39" t="str">
        <f t="shared" si="18"/>
        <v/>
      </c>
      <c r="BY20" s="47"/>
      <c r="BZ20" s="48" t="str">
        <f t="shared" si="19"/>
        <v/>
      </c>
      <c r="CA20" s="47"/>
      <c r="CB20" s="47"/>
      <c r="CC20" s="47"/>
    </row>
    <row r="21" spans="1:81" ht="14.25" x14ac:dyDescent="0.45">
      <c r="A21" s="10"/>
      <c r="B21" s="10"/>
      <c r="C21" s="10"/>
      <c r="D21" s="10"/>
      <c r="E21" s="10"/>
      <c r="F21" s="10"/>
      <c r="G21" s="10"/>
      <c r="H21" s="25" t="str">
        <f>IFERROR(VLOOKUP(C21,'01_Поставщики'!$A$4:$M$11,2,FALSE()),"")</f>
        <v/>
      </c>
      <c r="I21" s="10"/>
      <c r="J21" s="25" t="str">
        <f>IFERROR(VLOOKUP(C21,'01_Поставщики'!$A$4:$M$11,8,FALSE()),"")</f>
        <v/>
      </c>
      <c r="K21" s="25" t="str">
        <f>IFERROR(VLOOKUP(C21,'01_Поставщики'!$A$4:$M$11,4,FALSE()),"")</f>
        <v/>
      </c>
      <c r="L21" s="25" t="str">
        <f>IFERROR(VLOOKUP(C21,'01_Поставщики'!$A$4:$M$11,10,FALSE()),"")</f>
        <v/>
      </c>
      <c r="M21" s="26" t="str">
        <f>IF(OR(A21="",B21=""),"",IFERROR(SUMIFS('04_Потребность'!$B$4:$B$103,'04_Потребность'!$A$4:$A$103,A21,'04_Потребность'!$C$4:$C$103,B21),0))</f>
        <v/>
      </c>
      <c r="N21" s="11"/>
      <c r="O21" s="10"/>
      <c r="P21" s="10"/>
      <c r="Q21" s="27"/>
      <c r="R21" s="27"/>
      <c r="S21" s="8"/>
      <c r="T21" s="8">
        <f>IFERROR(INDEX('02_Схемы оплаты'!$C$4:$C$19,MATCH($C21&amp;"|"&amp;$G21,'02_Схемы оплаты'!$H$4:$H$19,0)),0)</f>
        <v>0</v>
      </c>
      <c r="U21" s="11"/>
      <c r="V21" s="28"/>
      <c r="W21" s="8"/>
      <c r="X21" s="8">
        <f>IFERROR(INDEX('02_Схемы оплаты'!$D$4:$D$19,MATCH($C21&amp;"|"&amp;$G21,'02_Схемы оплаты'!$H$4:$H$19,0)),0)</f>
        <v>0</v>
      </c>
      <c r="Y21" s="11"/>
      <c r="Z21" s="28"/>
      <c r="AA21" s="8"/>
      <c r="AB21" s="8">
        <f>IFERROR(INDEX('02_Схемы оплаты'!$E$4:$E$19,MATCH($C21&amp;"|"&amp;$G21,'02_Схемы оплаты'!$H$4:$H$19,0)),0)</f>
        <v>0</v>
      </c>
      <c r="AC21" s="11"/>
      <c r="AD21" s="28"/>
      <c r="AE21" s="8"/>
      <c r="AF21" s="10"/>
      <c r="AG21" s="10"/>
      <c r="AH21" s="25">
        <f>IFERROR(SUMIFS('04_Потребность'!$D$4:$D$103,'04_Потребность'!$A$4:$A$103,A21,'04_Потребность'!$C$4:$C$103,B21),0)</f>
        <v>0</v>
      </c>
      <c r="AI21" s="26" t="str">
        <f>IF(OR(A21="",B21=""),"",IFERROR(SUMIFS('04_Потребность'!$E$4:$E$103,'04_Потребность'!$A$4:$A$103,A21,'04_Потребность'!$C$4:$C$103,B21),0))</f>
        <v/>
      </c>
      <c r="AJ21" s="25" t="str">
        <f>IF(OR(A21="",B21=""),"",IFERROR(SUMIFS('04_Потребность'!$F$4:$F$103,'04_Потребность'!$A$4:$A$103,A21,'04_Потребность'!$C$4:$C$103,B21),0))</f>
        <v/>
      </c>
      <c r="AK21" s="29" t="str">
        <f>IF(OR(A21="",B21=""),"",IFERROR(SUMIFS('04_Потребность'!$G$4:$G$103,'04_Потребность'!$A$4:$A$103,A21,'04_Потребность'!$C$4:$C$103,B21),0))</f>
        <v/>
      </c>
      <c r="AL21" s="25" t="str">
        <f>IF('03_Настройки'!$B$7="Нет","Нет",IF(COUNTIFS('04_Потребность'!$A$4:$A$103,A21,'04_Потребность'!$C$4:$C$103,B21,'04_Потребность'!$H$4:$H$103,"Да")&gt;0,"Да","Нет"))</f>
        <v>Нет</v>
      </c>
      <c r="AM21" s="30">
        <f t="shared" si="0"/>
        <v>0</v>
      </c>
      <c r="AN21" s="30">
        <f t="shared" si="1"/>
        <v>0</v>
      </c>
      <c r="AO21" s="29">
        <f t="shared" si="2"/>
        <v>0</v>
      </c>
      <c r="AP21" s="29">
        <f t="shared" si="3"/>
        <v>0</v>
      </c>
      <c r="AQ21" s="29">
        <f t="shared" si="4"/>
        <v>0</v>
      </c>
      <c r="AR21" s="29">
        <f>IFERROR(E21*'03_Настройки'!$B$4/365*(IF(T21&gt;0,T21*V21*(1+W21)*MAX(0,N21-U21),0)+IF(X21&gt;0,X21*Z21*(1+AA21)*MAX(0,N21-Y21),0)+IF(AB21&gt;0,AB21*AD21*(1+AE21)*MAX(0,N21-AC21),0)),0)</f>
        <v>0</v>
      </c>
      <c r="AS21" s="29">
        <f t="shared" si="5"/>
        <v>0</v>
      </c>
      <c r="AT21" s="31">
        <f t="shared" si="6"/>
        <v>0</v>
      </c>
      <c r="AU21" s="31">
        <f t="shared" si="7"/>
        <v>0</v>
      </c>
      <c r="AV21" s="32">
        <f t="shared" si="8"/>
        <v>0</v>
      </c>
      <c r="AW21" s="29" t="e">
        <f t="shared" si="9"/>
        <v>#VALUE!</v>
      </c>
      <c r="AX21" s="29">
        <f t="shared" si="10"/>
        <v>0</v>
      </c>
      <c r="AY21" s="29" t="e">
        <f t="shared" si="11"/>
        <v>#VALUE!</v>
      </c>
      <c r="AZ21" s="25" t="str">
        <f>IF(AND(A21&lt;&gt;"",B21&lt;&gt;"",C21&lt;&gt;"",D21&gt;0,E21&gt;0,N21&lt;&gt;"",AH21&gt;0,O21="Да",P21="Да",BZ21="ПОЛНО",ABS(AN21-1)&lt;='03_Настройки'!$B$5,IF(T21&gt;0,AND(U21&lt;&gt;"",V21&gt;0),TRUE()),IF(X21&gt;0,AND(Y21&lt;&gt;"",Z21&gt;0),TRUE()),IF(AB21&gt;0,AND(AC21&lt;&gt;"",AD21&gt;0),TRUE()),OR(BM21="",BM21="Активна")),"Да","Нет")</f>
        <v>Нет</v>
      </c>
      <c r="BA21" s="25" t="str">
        <f t="shared" si="12"/>
        <v>Нет</v>
      </c>
      <c r="BB21" s="25" t="str">
        <f t="shared" si="13"/>
        <v/>
      </c>
      <c r="BC21" s="25" t="str">
        <f t="shared" si="14"/>
        <v/>
      </c>
      <c r="BD21" s="25" t="str">
        <f t="shared" si="15"/>
        <v/>
      </c>
      <c r="BE21" s="25" t="str">
        <f>IF(A21="","",IF(BZ21&lt;&gt;"ПОЛНО","BLOCK: неполная форма",IF(O21&lt;&gt;"Да","BLOCK: ввоз не разрешён",IF(P21&lt;&gt;"Да","BLOCK: документы не подтверждены",IF(ABS(AN21-1)&gt;'03_Настройки'!$B$5,"BLOCK: платежи не 100%",IF(AND(BM21&lt;&gt;"",BM21&lt;&gt;"Активна"),"BLOCK: позиция "&amp;BM21,IF(BA21&lt;&gt;"Да","PARTIAL: не покрывает потребность",IF(BB21="ДА","самый дешёвый"&amp;IF(BC21="ДА"," + быстрый","")&amp;IF(BD21="ДА"," + optimal",""),IF(BC21="ДА","самый быстрый"&amp;IF(BD21="ДА"," + optimal",""),IF(BD21="ДА","optimal","Допущен"))))))))))</f>
        <v/>
      </c>
      <c r="BF21" s="25">
        <f>ROW()</f>
        <v>21</v>
      </c>
      <c r="BG21" s="33"/>
      <c r="BH21" s="33"/>
      <c r="BI21" s="33"/>
      <c r="BJ21" s="33"/>
      <c r="BK21" s="33"/>
      <c r="BL21" s="34"/>
      <c r="BM21" s="33"/>
      <c r="BN21" s="35" t="str">
        <f t="shared" si="16"/>
        <v/>
      </c>
      <c r="BO21" s="36" t="str">
        <f t="shared" si="17"/>
        <v/>
      </c>
      <c r="BP21" s="33"/>
      <c r="BQ21" s="38"/>
      <c r="BR21" s="13"/>
      <c r="BS21" s="13"/>
      <c r="BT21" s="13"/>
      <c r="BU21" s="13"/>
      <c r="BV21" s="13"/>
      <c r="BW21" s="13"/>
      <c r="BX21" s="39" t="str">
        <f t="shared" si="18"/>
        <v/>
      </c>
      <c r="BY21" s="47"/>
      <c r="BZ21" s="48" t="str">
        <f t="shared" si="19"/>
        <v/>
      </c>
      <c r="CA21" s="47"/>
      <c r="CB21" s="47"/>
      <c r="CC21" s="47"/>
    </row>
    <row r="22" spans="1:81" ht="14.25" x14ac:dyDescent="0.45">
      <c r="A22" s="10"/>
      <c r="B22" s="10"/>
      <c r="C22" s="10"/>
      <c r="D22" s="10"/>
      <c r="E22" s="10"/>
      <c r="F22" s="10"/>
      <c r="G22" s="10"/>
      <c r="H22" s="25" t="str">
        <f>IFERROR(VLOOKUP(C22,'01_Поставщики'!$A$4:$M$11,2,FALSE()),"")</f>
        <v/>
      </c>
      <c r="I22" s="10"/>
      <c r="J22" s="25" t="str">
        <f>IFERROR(VLOOKUP(C22,'01_Поставщики'!$A$4:$M$11,8,FALSE()),"")</f>
        <v/>
      </c>
      <c r="K22" s="25" t="str">
        <f>IFERROR(VLOOKUP(C22,'01_Поставщики'!$A$4:$M$11,4,FALSE()),"")</f>
        <v/>
      </c>
      <c r="L22" s="25" t="str">
        <f>IFERROR(VLOOKUP(C22,'01_Поставщики'!$A$4:$M$11,10,FALSE()),"")</f>
        <v/>
      </c>
      <c r="M22" s="26" t="str">
        <f>IF(OR(A22="",B22=""),"",IFERROR(SUMIFS('04_Потребность'!$B$4:$B$103,'04_Потребность'!$A$4:$A$103,A22,'04_Потребность'!$C$4:$C$103,B22),0))</f>
        <v/>
      </c>
      <c r="N22" s="11"/>
      <c r="O22" s="10"/>
      <c r="P22" s="10"/>
      <c r="Q22" s="27"/>
      <c r="R22" s="27"/>
      <c r="S22" s="8"/>
      <c r="T22" s="8">
        <f>IFERROR(INDEX('02_Схемы оплаты'!$C$4:$C$19,MATCH($C22&amp;"|"&amp;$G22,'02_Схемы оплаты'!$H$4:$H$19,0)),0)</f>
        <v>0</v>
      </c>
      <c r="U22" s="11"/>
      <c r="V22" s="28"/>
      <c r="W22" s="8"/>
      <c r="X22" s="8">
        <f>IFERROR(INDEX('02_Схемы оплаты'!$D$4:$D$19,MATCH($C22&amp;"|"&amp;$G22,'02_Схемы оплаты'!$H$4:$H$19,0)),0)</f>
        <v>0</v>
      </c>
      <c r="Y22" s="11"/>
      <c r="Z22" s="28"/>
      <c r="AA22" s="8"/>
      <c r="AB22" s="8">
        <f>IFERROR(INDEX('02_Схемы оплаты'!$E$4:$E$19,MATCH($C22&amp;"|"&amp;$G22,'02_Схемы оплаты'!$H$4:$H$19,0)),0)</f>
        <v>0</v>
      </c>
      <c r="AC22" s="11"/>
      <c r="AD22" s="28"/>
      <c r="AE22" s="8"/>
      <c r="AF22" s="10"/>
      <c r="AG22" s="10"/>
      <c r="AH22" s="25">
        <f>IFERROR(SUMIFS('04_Потребность'!$D$4:$D$103,'04_Потребность'!$A$4:$A$103,A22,'04_Потребность'!$C$4:$C$103,B22),0)</f>
        <v>0</v>
      </c>
      <c r="AI22" s="26" t="str">
        <f>IF(OR(A22="",B22=""),"",IFERROR(SUMIFS('04_Потребность'!$E$4:$E$103,'04_Потребность'!$A$4:$A$103,A22,'04_Потребность'!$C$4:$C$103,B22),0))</f>
        <v/>
      </c>
      <c r="AJ22" s="25" t="str">
        <f>IF(OR(A22="",B22=""),"",IFERROR(SUMIFS('04_Потребность'!$F$4:$F$103,'04_Потребность'!$A$4:$A$103,A22,'04_Потребность'!$C$4:$C$103,B22),0))</f>
        <v/>
      </c>
      <c r="AK22" s="29" t="str">
        <f>IF(OR(A22="",B22=""),"",IFERROR(SUMIFS('04_Потребность'!$G$4:$G$103,'04_Потребность'!$A$4:$A$103,A22,'04_Потребность'!$C$4:$C$103,B22),0))</f>
        <v/>
      </c>
      <c r="AL22" s="25" t="str">
        <f>IF('03_Настройки'!$B$7="Нет","Нет",IF(COUNTIFS('04_Потребность'!$A$4:$A$103,A22,'04_Потребность'!$C$4:$C$103,B22,'04_Потребность'!$H$4:$H$103,"Да")&gt;0,"Да","Нет"))</f>
        <v>Нет</v>
      </c>
      <c r="AM22" s="30">
        <f t="shared" si="0"/>
        <v>0</v>
      </c>
      <c r="AN22" s="30">
        <f t="shared" si="1"/>
        <v>0</v>
      </c>
      <c r="AO22" s="29">
        <f t="shared" si="2"/>
        <v>0</v>
      </c>
      <c r="AP22" s="29">
        <f t="shared" si="3"/>
        <v>0</v>
      </c>
      <c r="AQ22" s="29">
        <f t="shared" si="4"/>
        <v>0</v>
      </c>
      <c r="AR22" s="29">
        <f>IFERROR(E22*'03_Настройки'!$B$4/365*(IF(T22&gt;0,T22*V22*(1+W22)*MAX(0,N22-U22),0)+IF(X22&gt;0,X22*Z22*(1+AA22)*MAX(0,N22-Y22),0)+IF(AB22&gt;0,AB22*AD22*(1+AE22)*MAX(0,N22-AC22),0)),0)</f>
        <v>0</v>
      </c>
      <c r="AS22" s="29">
        <f t="shared" si="5"/>
        <v>0</v>
      </c>
      <c r="AT22" s="31">
        <f t="shared" si="6"/>
        <v>0</v>
      </c>
      <c r="AU22" s="31">
        <f t="shared" si="7"/>
        <v>0</v>
      </c>
      <c r="AV22" s="32">
        <f t="shared" si="8"/>
        <v>0</v>
      </c>
      <c r="AW22" s="29" t="e">
        <f t="shared" si="9"/>
        <v>#VALUE!</v>
      </c>
      <c r="AX22" s="29">
        <f t="shared" si="10"/>
        <v>0</v>
      </c>
      <c r="AY22" s="29" t="e">
        <f t="shared" si="11"/>
        <v>#VALUE!</v>
      </c>
      <c r="AZ22" s="25" t="str">
        <f>IF(AND(A22&lt;&gt;"",B22&lt;&gt;"",C22&lt;&gt;"",D22&gt;0,E22&gt;0,N22&lt;&gt;"",AH22&gt;0,O22="Да",P22="Да",BZ22="ПОЛНО",ABS(AN22-1)&lt;='03_Настройки'!$B$5,IF(T22&gt;0,AND(U22&lt;&gt;"",V22&gt;0),TRUE()),IF(X22&gt;0,AND(Y22&lt;&gt;"",Z22&gt;0),TRUE()),IF(AB22&gt;0,AND(AC22&lt;&gt;"",AD22&gt;0),TRUE()),OR(BM22="",BM22="Активна")),"Да","Нет")</f>
        <v>Нет</v>
      </c>
      <c r="BA22" s="25" t="str">
        <f t="shared" si="12"/>
        <v>Нет</v>
      </c>
      <c r="BB22" s="25" t="str">
        <f t="shared" si="13"/>
        <v/>
      </c>
      <c r="BC22" s="25" t="str">
        <f t="shared" si="14"/>
        <v/>
      </c>
      <c r="BD22" s="25" t="str">
        <f t="shared" si="15"/>
        <v/>
      </c>
      <c r="BE22" s="25" t="str">
        <f>IF(A22="","",IF(BZ22&lt;&gt;"ПОЛНО","BLOCK: неполная форма",IF(O22&lt;&gt;"Да","BLOCK: ввоз не разрешён",IF(P22&lt;&gt;"Да","BLOCK: документы не подтверждены",IF(ABS(AN22-1)&gt;'03_Настройки'!$B$5,"BLOCK: платежи не 100%",IF(AND(BM22&lt;&gt;"",BM22&lt;&gt;"Активна"),"BLOCK: позиция "&amp;BM22,IF(BA22&lt;&gt;"Да","PARTIAL: не покрывает потребность",IF(BB22="ДА","самый дешёвый"&amp;IF(BC22="ДА"," + быстрый","")&amp;IF(BD22="ДА"," + optimal",""),IF(BC22="ДА","самый быстрый"&amp;IF(BD22="ДА"," + optimal",""),IF(BD22="ДА","optimal","Допущен"))))))))))</f>
        <v/>
      </c>
      <c r="BF22" s="25">
        <f>ROW()</f>
        <v>22</v>
      </c>
      <c r="BG22" s="33"/>
      <c r="BH22" s="33"/>
      <c r="BI22" s="33"/>
      <c r="BJ22" s="33"/>
      <c r="BK22" s="33"/>
      <c r="BL22" s="34"/>
      <c r="BM22" s="33"/>
      <c r="BN22" s="35" t="str">
        <f t="shared" si="16"/>
        <v/>
      </c>
      <c r="BO22" s="36" t="str">
        <f t="shared" si="17"/>
        <v/>
      </c>
      <c r="BP22" s="33"/>
      <c r="BQ22" s="38"/>
      <c r="BR22" s="13"/>
      <c r="BS22" s="13"/>
      <c r="BT22" s="13"/>
      <c r="BU22" s="13"/>
      <c r="BV22" s="13"/>
      <c r="BW22" s="13"/>
      <c r="BX22" s="39" t="str">
        <f t="shared" si="18"/>
        <v/>
      </c>
      <c r="BY22" s="47"/>
      <c r="BZ22" s="48" t="str">
        <f t="shared" si="19"/>
        <v/>
      </c>
      <c r="CA22" s="47"/>
      <c r="CB22" s="47"/>
      <c r="CC22" s="47"/>
    </row>
    <row r="23" spans="1:81" ht="14.25" x14ac:dyDescent="0.45">
      <c r="A23" s="10"/>
      <c r="B23" s="10"/>
      <c r="C23" s="10"/>
      <c r="D23" s="10"/>
      <c r="E23" s="10"/>
      <c r="F23" s="10"/>
      <c r="G23" s="10"/>
      <c r="H23" s="25" t="str">
        <f>IFERROR(VLOOKUP(C23,'01_Поставщики'!$A$4:$M$11,2,FALSE()),"")</f>
        <v/>
      </c>
      <c r="I23" s="10"/>
      <c r="J23" s="25" t="str">
        <f>IFERROR(VLOOKUP(C23,'01_Поставщики'!$A$4:$M$11,8,FALSE()),"")</f>
        <v/>
      </c>
      <c r="K23" s="25" t="str">
        <f>IFERROR(VLOOKUP(C23,'01_Поставщики'!$A$4:$M$11,4,FALSE()),"")</f>
        <v/>
      </c>
      <c r="L23" s="25" t="str">
        <f>IFERROR(VLOOKUP(C23,'01_Поставщики'!$A$4:$M$11,10,FALSE()),"")</f>
        <v/>
      </c>
      <c r="M23" s="26" t="str">
        <f>IF(OR(A23="",B23=""),"",IFERROR(SUMIFS('04_Потребность'!$B$4:$B$103,'04_Потребность'!$A$4:$A$103,A23,'04_Потребность'!$C$4:$C$103,B23),0))</f>
        <v/>
      </c>
      <c r="N23" s="11"/>
      <c r="O23" s="10"/>
      <c r="P23" s="10"/>
      <c r="Q23" s="27"/>
      <c r="R23" s="27"/>
      <c r="S23" s="8"/>
      <c r="T23" s="8">
        <f>IFERROR(INDEX('02_Схемы оплаты'!$C$4:$C$19,MATCH($C23&amp;"|"&amp;$G23,'02_Схемы оплаты'!$H$4:$H$19,0)),0)</f>
        <v>0</v>
      </c>
      <c r="U23" s="11"/>
      <c r="V23" s="28"/>
      <c r="W23" s="8"/>
      <c r="X23" s="8">
        <f>IFERROR(INDEX('02_Схемы оплаты'!$D$4:$D$19,MATCH($C23&amp;"|"&amp;$G23,'02_Схемы оплаты'!$H$4:$H$19,0)),0)</f>
        <v>0</v>
      </c>
      <c r="Y23" s="11"/>
      <c r="Z23" s="28"/>
      <c r="AA23" s="8"/>
      <c r="AB23" s="8">
        <f>IFERROR(INDEX('02_Схемы оплаты'!$E$4:$E$19,MATCH($C23&amp;"|"&amp;$G23,'02_Схемы оплаты'!$H$4:$H$19,0)),0)</f>
        <v>0</v>
      </c>
      <c r="AC23" s="11"/>
      <c r="AD23" s="28"/>
      <c r="AE23" s="8"/>
      <c r="AF23" s="10"/>
      <c r="AG23" s="10"/>
      <c r="AH23" s="25">
        <f>IFERROR(SUMIFS('04_Потребность'!$D$4:$D$103,'04_Потребность'!$A$4:$A$103,A23,'04_Потребность'!$C$4:$C$103,B23),0)</f>
        <v>0</v>
      </c>
      <c r="AI23" s="26" t="str">
        <f>IF(OR(A23="",B23=""),"",IFERROR(SUMIFS('04_Потребность'!$E$4:$E$103,'04_Потребность'!$A$4:$A$103,A23,'04_Потребность'!$C$4:$C$103,B23),0))</f>
        <v/>
      </c>
      <c r="AJ23" s="25" t="str">
        <f>IF(OR(A23="",B23=""),"",IFERROR(SUMIFS('04_Потребность'!$F$4:$F$103,'04_Потребность'!$A$4:$A$103,A23,'04_Потребность'!$C$4:$C$103,B23),0))</f>
        <v/>
      </c>
      <c r="AK23" s="29" t="str">
        <f>IF(OR(A23="",B23=""),"",IFERROR(SUMIFS('04_Потребность'!$G$4:$G$103,'04_Потребность'!$A$4:$A$103,A23,'04_Потребность'!$C$4:$C$103,B23),0))</f>
        <v/>
      </c>
      <c r="AL23" s="25" t="str">
        <f>IF('03_Настройки'!$B$7="Нет","Нет",IF(COUNTIFS('04_Потребность'!$A$4:$A$103,A23,'04_Потребность'!$C$4:$C$103,B23,'04_Потребность'!$H$4:$H$103,"Да")&gt;0,"Да","Нет"))</f>
        <v>Нет</v>
      </c>
      <c r="AM23" s="30">
        <f t="shared" si="0"/>
        <v>0</v>
      </c>
      <c r="AN23" s="30">
        <f t="shared" si="1"/>
        <v>0</v>
      </c>
      <c r="AO23" s="29">
        <f t="shared" si="2"/>
        <v>0</v>
      </c>
      <c r="AP23" s="29">
        <f t="shared" si="3"/>
        <v>0</v>
      </c>
      <c r="AQ23" s="29">
        <f t="shared" si="4"/>
        <v>0</v>
      </c>
      <c r="AR23" s="29">
        <f>IFERROR(E23*'03_Настройки'!$B$4/365*(IF(T23&gt;0,T23*V23*(1+W23)*MAX(0,N23-U23),0)+IF(X23&gt;0,X23*Z23*(1+AA23)*MAX(0,N23-Y23),0)+IF(AB23&gt;0,AB23*AD23*(1+AE23)*MAX(0,N23-AC23),0)),0)</f>
        <v>0</v>
      </c>
      <c r="AS23" s="29">
        <f t="shared" si="5"/>
        <v>0</v>
      </c>
      <c r="AT23" s="31">
        <f t="shared" si="6"/>
        <v>0</v>
      </c>
      <c r="AU23" s="31">
        <f t="shared" si="7"/>
        <v>0</v>
      </c>
      <c r="AV23" s="32">
        <f t="shared" si="8"/>
        <v>0</v>
      </c>
      <c r="AW23" s="29" t="e">
        <f t="shared" si="9"/>
        <v>#VALUE!</v>
      </c>
      <c r="AX23" s="29">
        <f t="shared" si="10"/>
        <v>0</v>
      </c>
      <c r="AY23" s="29" t="e">
        <f t="shared" si="11"/>
        <v>#VALUE!</v>
      </c>
      <c r="AZ23" s="25" t="str">
        <f>IF(AND(A23&lt;&gt;"",B23&lt;&gt;"",C23&lt;&gt;"",D23&gt;0,E23&gt;0,N23&lt;&gt;"",AH23&gt;0,O23="Да",P23="Да",BZ23="ПОЛНО",ABS(AN23-1)&lt;='03_Настройки'!$B$5,IF(T23&gt;0,AND(U23&lt;&gt;"",V23&gt;0),TRUE()),IF(X23&gt;0,AND(Y23&lt;&gt;"",Z23&gt;0),TRUE()),IF(AB23&gt;0,AND(AC23&lt;&gt;"",AD23&gt;0),TRUE()),OR(BM23="",BM23="Активна")),"Да","Нет")</f>
        <v>Нет</v>
      </c>
      <c r="BA23" s="25" t="str">
        <f t="shared" si="12"/>
        <v>Нет</v>
      </c>
      <c r="BB23" s="25" t="str">
        <f t="shared" si="13"/>
        <v/>
      </c>
      <c r="BC23" s="25" t="str">
        <f t="shared" si="14"/>
        <v/>
      </c>
      <c r="BD23" s="25" t="str">
        <f t="shared" si="15"/>
        <v/>
      </c>
      <c r="BE23" s="25" t="str">
        <f>IF(A23="","",IF(BZ23&lt;&gt;"ПОЛНО","BLOCK: неполная форма",IF(O23&lt;&gt;"Да","BLOCK: ввоз не разрешён",IF(P23&lt;&gt;"Да","BLOCK: документы не подтверждены",IF(ABS(AN23-1)&gt;'03_Настройки'!$B$5,"BLOCK: платежи не 100%",IF(AND(BM23&lt;&gt;"",BM23&lt;&gt;"Активна"),"BLOCK: позиция "&amp;BM23,IF(BA23&lt;&gt;"Да","PARTIAL: не покрывает потребность",IF(BB23="ДА","самый дешёвый"&amp;IF(BC23="ДА"," + быстрый","")&amp;IF(BD23="ДА"," + optimal",""),IF(BC23="ДА","самый быстрый"&amp;IF(BD23="ДА"," + optimal",""),IF(BD23="ДА","optimal","Допущен"))))))))))</f>
        <v/>
      </c>
      <c r="BF23" s="25">
        <f>ROW()</f>
        <v>23</v>
      </c>
      <c r="BG23" s="33"/>
      <c r="BH23" s="33"/>
      <c r="BI23" s="33"/>
      <c r="BJ23" s="33"/>
      <c r="BK23" s="33"/>
      <c r="BL23" s="34"/>
      <c r="BM23" s="33"/>
      <c r="BN23" s="35" t="str">
        <f t="shared" si="16"/>
        <v/>
      </c>
      <c r="BO23" s="36" t="str">
        <f t="shared" si="17"/>
        <v/>
      </c>
      <c r="BP23" s="33"/>
      <c r="BQ23" s="38"/>
      <c r="BR23" s="13"/>
      <c r="BS23" s="13"/>
      <c r="BT23" s="13"/>
      <c r="BU23" s="13"/>
      <c r="BV23" s="13"/>
      <c r="BW23" s="13"/>
      <c r="BX23" s="39" t="str">
        <f t="shared" si="18"/>
        <v/>
      </c>
      <c r="BY23" s="47"/>
      <c r="BZ23" s="48" t="str">
        <f t="shared" si="19"/>
        <v/>
      </c>
      <c r="CA23" s="47"/>
      <c r="CB23" s="47"/>
      <c r="CC23" s="47"/>
    </row>
    <row r="24" spans="1:81" ht="14.25" x14ac:dyDescent="0.45">
      <c r="A24" s="10"/>
      <c r="B24" s="10"/>
      <c r="C24" s="10"/>
      <c r="D24" s="10"/>
      <c r="E24" s="10"/>
      <c r="F24" s="10"/>
      <c r="G24" s="10"/>
      <c r="H24" s="25" t="str">
        <f>IFERROR(VLOOKUP(C24,'01_Поставщики'!$A$4:$M$11,2,FALSE()),"")</f>
        <v/>
      </c>
      <c r="I24" s="10"/>
      <c r="J24" s="25" t="str">
        <f>IFERROR(VLOOKUP(C24,'01_Поставщики'!$A$4:$M$11,8,FALSE()),"")</f>
        <v/>
      </c>
      <c r="K24" s="25" t="str">
        <f>IFERROR(VLOOKUP(C24,'01_Поставщики'!$A$4:$M$11,4,FALSE()),"")</f>
        <v/>
      </c>
      <c r="L24" s="25" t="str">
        <f>IFERROR(VLOOKUP(C24,'01_Поставщики'!$A$4:$M$11,10,FALSE()),"")</f>
        <v/>
      </c>
      <c r="M24" s="26" t="str">
        <f>IF(OR(A24="",B24=""),"",IFERROR(SUMIFS('04_Потребность'!$B$4:$B$103,'04_Потребность'!$A$4:$A$103,A24,'04_Потребность'!$C$4:$C$103,B24),0))</f>
        <v/>
      </c>
      <c r="N24" s="11"/>
      <c r="O24" s="10"/>
      <c r="P24" s="10"/>
      <c r="Q24" s="27"/>
      <c r="R24" s="27"/>
      <c r="S24" s="8"/>
      <c r="T24" s="8">
        <f>IFERROR(INDEX('02_Схемы оплаты'!$C$4:$C$19,MATCH($C24&amp;"|"&amp;$G24,'02_Схемы оплаты'!$H$4:$H$19,0)),0)</f>
        <v>0</v>
      </c>
      <c r="U24" s="11"/>
      <c r="V24" s="28"/>
      <c r="W24" s="8"/>
      <c r="X24" s="8">
        <f>IFERROR(INDEX('02_Схемы оплаты'!$D$4:$D$19,MATCH($C24&amp;"|"&amp;$G24,'02_Схемы оплаты'!$H$4:$H$19,0)),0)</f>
        <v>0</v>
      </c>
      <c r="Y24" s="11"/>
      <c r="Z24" s="28"/>
      <c r="AA24" s="8"/>
      <c r="AB24" s="8">
        <f>IFERROR(INDEX('02_Схемы оплаты'!$E$4:$E$19,MATCH($C24&amp;"|"&amp;$G24,'02_Схемы оплаты'!$H$4:$H$19,0)),0)</f>
        <v>0</v>
      </c>
      <c r="AC24" s="11"/>
      <c r="AD24" s="28"/>
      <c r="AE24" s="8"/>
      <c r="AF24" s="10"/>
      <c r="AG24" s="10"/>
      <c r="AH24" s="25">
        <f>IFERROR(SUMIFS('04_Потребность'!$D$4:$D$103,'04_Потребность'!$A$4:$A$103,A24,'04_Потребность'!$C$4:$C$103,B24),0)</f>
        <v>0</v>
      </c>
      <c r="AI24" s="26" t="str">
        <f>IF(OR(A24="",B24=""),"",IFERROR(SUMIFS('04_Потребность'!$E$4:$E$103,'04_Потребность'!$A$4:$A$103,A24,'04_Потребность'!$C$4:$C$103,B24),0))</f>
        <v/>
      </c>
      <c r="AJ24" s="25" t="str">
        <f>IF(OR(A24="",B24=""),"",IFERROR(SUMIFS('04_Потребность'!$F$4:$F$103,'04_Потребность'!$A$4:$A$103,A24,'04_Потребность'!$C$4:$C$103,B24),0))</f>
        <v/>
      </c>
      <c r="AK24" s="29" t="str">
        <f>IF(OR(A24="",B24=""),"",IFERROR(SUMIFS('04_Потребность'!$G$4:$G$103,'04_Потребность'!$A$4:$A$103,A24,'04_Потребность'!$C$4:$C$103,B24),0))</f>
        <v/>
      </c>
      <c r="AL24" s="25" t="str">
        <f>IF('03_Настройки'!$B$7="Нет","Нет",IF(COUNTIFS('04_Потребность'!$A$4:$A$103,A24,'04_Потребность'!$C$4:$C$103,B24,'04_Потребность'!$H$4:$H$103,"Да")&gt;0,"Да","Нет"))</f>
        <v>Нет</v>
      </c>
      <c r="AM24" s="30">
        <f t="shared" si="0"/>
        <v>0</v>
      </c>
      <c r="AN24" s="30">
        <f t="shared" si="1"/>
        <v>0</v>
      </c>
      <c r="AO24" s="29">
        <f t="shared" si="2"/>
        <v>0</v>
      </c>
      <c r="AP24" s="29">
        <f t="shared" si="3"/>
        <v>0</v>
      </c>
      <c r="AQ24" s="29">
        <f t="shared" si="4"/>
        <v>0</v>
      </c>
      <c r="AR24" s="29">
        <f>IFERROR(E24*'03_Настройки'!$B$4/365*(IF(T24&gt;0,T24*V24*(1+W24)*MAX(0,N24-U24),0)+IF(X24&gt;0,X24*Z24*(1+AA24)*MAX(0,N24-Y24),0)+IF(AB24&gt;0,AB24*AD24*(1+AE24)*MAX(0,N24-AC24),0)),0)</f>
        <v>0</v>
      </c>
      <c r="AS24" s="29">
        <f t="shared" si="5"/>
        <v>0</v>
      </c>
      <c r="AT24" s="31">
        <f t="shared" si="6"/>
        <v>0</v>
      </c>
      <c r="AU24" s="31">
        <f t="shared" si="7"/>
        <v>0</v>
      </c>
      <c r="AV24" s="32">
        <f t="shared" si="8"/>
        <v>0</v>
      </c>
      <c r="AW24" s="29" t="e">
        <f t="shared" si="9"/>
        <v>#VALUE!</v>
      </c>
      <c r="AX24" s="29">
        <f t="shared" si="10"/>
        <v>0</v>
      </c>
      <c r="AY24" s="29" t="e">
        <f t="shared" si="11"/>
        <v>#VALUE!</v>
      </c>
      <c r="AZ24" s="25" t="str">
        <f>IF(AND(A24&lt;&gt;"",B24&lt;&gt;"",C24&lt;&gt;"",D24&gt;0,E24&gt;0,N24&lt;&gt;"",AH24&gt;0,O24="Да",P24="Да",BZ24="ПОЛНО",ABS(AN24-1)&lt;='03_Настройки'!$B$5,IF(T24&gt;0,AND(U24&lt;&gt;"",V24&gt;0),TRUE()),IF(X24&gt;0,AND(Y24&lt;&gt;"",Z24&gt;0),TRUE()),IF(AB24&gt;0,AND(AC24&lt;&gt;"",AD24&gt;0),TRUE()),OR(BM24="",BM24="Активна")),"Да","Нет")</f>
        <v>Нет</v>
      </c>
      <c r="BA24" s="25" t="str">
        <f t="shared" si="12"/>
        <v>Нет</v>
      </c>
      <c r="BB24" s="25" t="str">
        <f t="shared" si="13"/>
        <v/>
      </c>
      <c r="BC24" s="25" t="str">
        <f t="shared" si="14"/>
        <v/>
      </c>
      <c r="BD24" s="25" t="str">
        <f t="shared" si="15"/>
        <v/>
      </c>
      <c r="BE24" s="25" t="str">
        <f>IF(A24="","",IF(BZ24&lt;&gt;"ПОЛНО","BLOCK: неполная форма",IF(O24&lt;&gt;"Да","BLOCK: ввоз не разрешён",IF(P24&lt;&gt;"Да","BLOCK: документы не подтверждены",IF(ABS(AN24-1)&gt;'03_Настройки'!$B$5,"BLOCK: платежи не 100%",IF(AND(BM24&lt;&gt;"",BM24&lt;&gt;"Активна"),"BLOCK: позиция "&amp;BM24,IF(BA24&lt;&gt;"Да","PARTIAL: не покрывает потребность",IF(BB24="ДА","самый дешёвый"&amp;IF(BC24="ДА"," + быстрый","")&amp;IF(BD24="ДА"," + optimal",""),IF(BC24="ДА","самый быстрый"&amp;IF(BD24="ДА"," + optimal",""),IF(BD24="ДА","optimal","Допущен"))))))))))</f>
        <v/>
      </c>
      <c r="BF24" s="25">
        <f>ROW()</f>
        <v>24</v>
      </c>
      <c r="BG24" s="33"/>
      <c r="BH24" s="33"/>
      <c r="BI24" s="33"/>
      <c r="BJ24" s="33"/>
      <c r="BK24" s="33"/>
      <c r="BL24" s="34"/>
      <c r="BM24" s="33"/>
      <c r="BN24" s="35" t="str">
        <f t="shared" si="16"/>
        <v/>
      </c>
      <c r="BO24" s="36" t="str">
        <f t="shared" si="17"/>
        <v/>
      </c>
      <c r="BP24" s="33"/>
      <c r="BQ24" s="38"/>
      <c r="BR24" s="13"/>
      <c r="BS24" s="13"/>
      <c r="BT24" s="13"/>
      <c r="BU24" s="13"/>
      <c r="BV24" s="13"/>
      <c r="BW24" s="13"/>
      <c r="BX24" s="39" t="str">
        <f t="shared" si="18"/>
        <v/>
      </c>
      <c r="BY24" s="47"/>
      <c r="BZ24" s="48" t="str">
        <f t="shared" si="19"/>
        <v/>
      </c>
      <c r="CA24" s="47"/>
      <c r="CB24" s="47"/>
      <c r="CC24" s="47"/>
    </row>
    <row r="25" spans="1:81" ht="14.25" x14ac:dyDescent="0.45">
      <c r="A25" s="10"/>
      <c r="B25" s="10"/>
      <c r="C25" s="10"/>
      <c r="D25" s="10"/>
      <c r="E25" s="10"/>
      <c r="F25" s="10"/>
      <c r="G25" s="10"/>
      <c r="H25" s="25" t="str">
        <f>IFERROR(VLOOKUP(C25,'01_Поставщики'!$A$4:$M$11,2,FALSE()),"")</f>
        <v/>
      </c>
      <c r="I25" s="10"/>
      <c r="J25" s="25" t="str">
        <f>IFERROR(VLOOKUP(C25,'01_Поставщики'!$A$4:$M$11,8,FALSE()),"")</f>
        <v/>
      </c>
      <c r="K25" s="25" t="str">
        <f>IFERROR(VLOOKUP(C25,'01_Поставщики'!$A$4:$M$11,4,FALSE()),"")</f>
        <v/>
      </c>
      <c r="L25" s="25" t="str">
        <f>IFERROR(VLOOKUP(C25,'01_Поставщики'!$A$4:$M$11,10,FALSE()),"")</f>
        <v/>
      </c>
      <c r="M25" s="26" t="str">
        <f>IF(OR(A25="",B25=""),"",IFERROR(SUMIFS('04_Потребность'!$B$4:$B$103,'04_Потребность'!$A$4:$A$103,A25,'04_Потребность'!$C$4:$C$103,B25),0))</f>
        <v/>
      </c>
      <c r="N25" s="11"/>
      <c r="O25" s="10"/>
      <c r="P25" s="10"/>
      <c r="Q25" s="27"/>
      <c r="R25" s="27"/>
      <c r="S25" s="8"/>
      <c r="T25" s="8">
        <f>IFERROR(INDEX('02_Схемы оплаты'!$C$4:$C$19,MATCH($C25&amp;"|"&amp;$G25,'02_Схемы оплаты'!$H$4:$H$19,0)),0)</f>
        <v>0</v>
      </c>
      <c r="U25" s="11"/>
      <c r="V25" s="28"/>
      <c r="W25" s="8"/>
      <c r="X25" s="8">
        <f>IFERROR(INDEX('02_Схемы оплаты'!$D$4:$D$19,MATCH($C25&amp;"|"&amp;$G25,'02_Схемы оплаты'!$H$4:$H$19,0)),0)</f>
        <v>0</v>
      </c>
      <c r="Y25" s="11"/>
      <c r="Z25" s="28"/>
      <c r="AA25" s="8"/>
      <c r="AB25" s="8">
        <f>IFERROR(INDEX('02_Схемы оплаты'!$E$4:$E$19,MATCH($C25&amp;"|"&amp;$G25,'02_Схемы оплаты'!$H$4:$H$19,0)),0)</f>
        <v>0</v>
      </c>
      <c r="AC25" s="11"/>
      <c r="AD25" s="28"/>
      <c r="AE25" s="8"/>
      <c r="AF25" s="10"/>
      <c r="AG25" s="10"/>
      <c r="AH25" s="25">
        <f>IFERROR(SUMIFS('04_Потребность'!$D$4:$D$103,'04_Потребность'!$A$4:$A$103,A25,'04_Потребность'!$C$4:$C$103,B25),0)</f>
        <v>0</v>
      </c>
      <c r="AI25" s="26" t="str">
        <f>IF(OR(A25="",B25=""),"",IFERROR(SUMIFS('04_Потребность'!$E$4:$E$103,'04_Потребность'!$A$4:$A$103,A25,'04_Потребность'!$C$4:$C$103,B25),0))</f>
        <v/>
      </c>
      <c r="AJ25" s="25" t="str">
        <f>IF(OR(A25="",B25=""),"",IFERROR(SUMIFS('04_Потребность'!$F$4:$F$103,'04_Потребность'!$A$4:$A$103,A25,'04_Потребность'!$C$4:$C$103,B25),0))</f>
        <v/>
      </c>
      <c r="AK25" s="29" t="str">
        <f>IF(OR(A25="",B25=""),"",IFERROR(SUMIFS('04_Потребность'!$G$4:$G$103,'04_Потребность'!$A$4:$A$103,A25,'04_Потребность'!$C$4:$C$103,B25),0))</f>
        <v/>
      </c>
      <c r="AL25" s="25" t="str">
        <f>IF('03_Настройки'!$B$7="Нет","Нет",IF(COUNTIFS('04_Потребность'!$A$4:$A$103,A25,'04_Потребность'!$C$4:$C$103,B25,'04_Потребность'!$H$4:$H$103,"Да")&gt;0,"Да","Нет"))</f>
        <v>Нет</v>
      </c>
      <c r="AM25" s="30">
        <f t="shared" si="0"/>
        <v>0</v>
      </c>
      <c r="AN25" s="30">
        <f t="shared" si="1"/>
        <v>0</v>
      </c>
      <c r="AO25" s="29">
        <f t="shared" si="2"/>
        <v>0</v>
      </c>
      <c r="AP25" s="29">
        <f t="shared" si="3"/>
        <v>0</v>
      </c>
      <c r="AQ25" s="29">
        <f t="shared" si="4"/>
        <v>0</v>
      </c>
      <c r="AR25" s="29">
        <f>IFERROR(E25*'03_Настройки'!$B$4/365*(IF(T25&gt;0,T25*V25*(1+W25)*MAX(0,N25-U25),0)+IF(X25&gt;0,X25*Z25*(1+AA25)*MAX(0,N25-Y25),0)+IF(AB25&gt;0,AB25*AD25*(1+AE25)*MAX(0,N25-AC25),0)),0)</f>
        <v>0</v>
      </c>
      <c r="AS25" s="29">
        <f t="shared" si="5"/>
        <v>0</v>
      </c>
      <c r="AT25" s="31">
        <f t="shared" si="6"/>
        <v>0</v>
      </c>
      <c r="AU25" s="31">
        <f t="shared" si="7"/>
        <v>0</v>
      </c>
      <c r="AV25" s="32">
        <f t="shared" si="8"/>
        <v>0</v>
      </c>
      <c r="AW25" s="29" t="e">
        <f t="shared" si="9"/>
        <v>#VALUE!</v>
      </c>
      <c r="AX25" s="29">
        <f t="shared" si="10"/>
        <v>0</v>
      </c>
      <c r="AY25" s="29" t="e">
        <f t="shared" si="11"/>
        <v>#VALUE!</v>
      </c>
      <c r="AZ25" s="25" t="str">
        <f>IF(AND(A25&lt;&gt;"",B25&lt;&gt;"",C25&lt;&gt;"",D25&gt;0,E25&gt;0,N25&lt;&gt;"",AH25&gt;0,O25="Да",P25="Да",BZ25="ПОЛНО",ABS(AN25-1)&lt;='03_Настройки'!$B$5,IF(T25&gt;0,AND(U25&lt;&gt;"",V25&gt;0),TRUE()),IF(X25&gt;0,AND(Y25&lt;&gt;"",Z25&gt;0),TRUE()),IF(AB25&gt;0,AND(AC25&lt;&gt;"",AD25&gt;0),TRUE()),OR(BM25="",BM25="Активна")),"Да","Нет")</f>
        <v>Нет</v>
      </c>
      <c r="BA25" s="25" t="str">
        <f t="shared" si="12"/>
        <v>Нет</v>
      </c>
      <c r="BB25" s="25" t="str">
        <f t="shared" si="13"/>
        <v/>
      </c>
      <c r="BC25" s="25" t="str">
        <f t="shared" si="14"/>
        <v/>
      </c>
      <c r="BD25" s="25" t="str">
        <f t="shared" si="15"/>
        <v/>
      </c>
      <c r="BE25" s="25" t="str">
        <f>IF(A25="","",IF(BZ25&lt;&gt;"ПОЛНО","BLOCK: неполная форма",IF(O25&lt;&gt;"Да","BLOCK: ввоз не разрешён",IF(P25&lt;&gt;"Да","BLOCK: документы не подтверждены",IF(ABS(AN25-1)&gt;'03_Настройки'!$B$5,"BLOCK: платежи не 100%",IF(AND(BM25&lt;&gt;"",BM25&lt;&gt;"Активна"),"BLOCK: позиция "&amp;BM25,IF(BA25&lt;&gt;"Да","PARTIAL: не покрывает потребность",IF(BB25="ДА","самый дешёвый"&amp;IF(BC25="ДА"," + быстрый","")&amp;IF(BD25="ДА"," + optimal",""),IF(BC25="ДА","самый быстрый"&amp;IF(BD25="ДА"," + optimal",""),IF(BD25="ДА","optimal","Допущен"))))))))))</f>
        <v/>
      </c>
      <c r="BF25" s="25">
        <f>ROW()</f>
        <v>25</v>
      </c>
      <c r="BG25" s="33"/>
      <c r="BH25" s="33"/>
      <c r="BI25" s="33"/>
      <c r="BJ25" s="33"/>
      <c r="BK25" s="33"/>
      <c r="BL25" s="34"/>
      <c r="BM25" s="33"/>
      <c r="BN25" s="35" t="str">
        <f t="shared" si="16"/>
        <v/>
      </c>
      <c r="BO25" s="36" t="str">
        <f t="shared" si="17"/>
        <v/>
      </c>
      <c r="BP25" s="33"/>
      <c r="BQ25" s="38"/>
      <c r="BR25" s="13"/>
      <c r="BS25" s="13"/>
      <c r="BT25" s="13"/>
      <c r="BU25" s="13"/>
      <c r="BV25" s="13"/>
      <c r="BW25" s="13"/>
      <c r="BX25" s="39" t="str">
        <f t="shared" si="18"/>
        <v/>
      </c>
      <c r="BY25" s="47"/>
      <c r="BZ25" s="48" t="str">
        <f t="shared" si="19"/>
        <v/>
      </c>
      <c r="CA25" s="47"/>
      <c r="CB25" s="47"/>
      <c r="CC25" s="47"/>
    </row>
    <row r="26" spans="1:81" ht="14.25" x14ac:dyDescent="0.45">
      <c r="A26" s="10"/>
      <c r="B26" s="10"/>
      <c r="C26" s="10"/>
      <c r="D26" s="10"/>
      <c r="E26" s="10"/>
      <c r="F26" s="10"/>
      <c r="G26" s="10"/>
      <c r="H26" s="25" t="str">
        <f>IFERROR(VLOOKUP(C26,'01_Поставщики'!$A$4:$M$11,2,FALSE()),"")</f>
        <v/>
      </c>
      <c r="I26" s="10"/>
      <c r="J26" s="25" t="str">
        <f>IFERROR(VLOOKUP(C26,'01_Поставщики'!$A$4:$M$11,8,FALSE()),"")</f>
        <v/>
      </c>
      <c r="K26" s="25" t="str">
        <f>IFERROR(VLOOKUP(C26,'01_Поставщики'!$A$4:$M$11,4,FALSE()),"")</f>
        <v/>
      </c>
      <c r="L26" s="25" t="str">
        <f>IFERROR(VLOOKUP(C26,'01_Поставщики'!$A$4:$M$11,10,FALSE()),"")</f>
        <v/>
      </c>
      <c r="M26" s="26" t="str">
        <f>IF(OR(A26="",B26=""),"",IFERROR(SUMIFS('04_Потребность'!$B$4:$B$103,'04_Потребность'!$A$4:$A$103,A26,'04_Потребность'!$C$4:$C$103,B26),0))</f>
        <v/>
      </c>
      <c r="N26" s="11"/>
      <c r="O26" s="10"/>
      <c r="P26" s="10"/>
      <c r="Q26" s="27"/>
      <c r="R26" s="27"/>
      <c r="S26" s="8"/>
      <c r="T26" s="8">
        <f>IFERROR(INDEX('02_Схемы оплаты'!$C$4:$C$19,MATCH($C26&amp;"|"&amp;$G26,'02_Схемы оплаты'!$H$4:$H$19,0)),0)</f>
        <v>0</v>
      </c>
      <c r="U26" s="11"/>
      <c r="V26" s="28"/>
      <c r="W26" s="8"/>
      <c r="X26" s="8">
        <f>IFERROR(INDEX('02_Схемы оплаты'!$D$4:$D$19,MATCH($C26&amp;"|"&amp;$G26,'02_Схемы оплаты'!$H$4:$H$19,0)),0)</f>
        <v>0</v>
      </c>
      <c r="Y26" s="11"/>
      <c r="Z26" s="28"/>
      <c r="AA26" s="8"/>
      <c r="AB26" s="8">
        <f>IFERROR(INDEX('02_Схемы оплаты'!$E$4:$E$19,MATCH($C26&amp;"|"&amp;$G26,'02_Схемы оплаты'!$H$4:$H$19,0)),0)</f>
        <v>0</v>
      </c>
      <c r="AC26" s="11"/>
      <c r="AD26" s="28"/>
      <c r="AE26" s="8"/>
      <c r="AF26" s="10"/>
      <c r="AG26" s="10"/>
      <c r="AH26" s="25">
        <f>IFERROR(SUMIFS('04_Потребность'!$D$4:$D$103,'04_Потребность'!$A$4:$A$103,A26,'04_Потребность'!$C$4:$C$103,B26),0)</f>
        <v>0</v>
      </c>
      <c r="AI26" s="26" t="str">
        <f>IF(OR(A26="",B26=""),"",IFERROR(SUMIFS('04_Потребность'!$E$4:$E$103,'04_Потребность'!$A$4:$A$103,A26,'04_Потребность'!$C$4:$C$103,B26),0))</f>
        <v/>
      </c>
      <c r="AJ26" s="25" t="str">
        <f>IF(OR(A26="",B26=""),"",IFERROR(SUMIFS('04_Потребность'!$F$4:$F$103,'04_Потребность'!$A$4:$A$103,A26,'04_Потребность'!$C$4:$C$103,B26),0))</f>
        <v/>
      </c>
      <c r="AK26" s="29" t="str">
        <f>IF(OR(A26="",B26=""),"",IFERROR(SUMIFS('04_Потребность'!$G$4:$G$103,'04_Потребность'!$A$4:$A$103,A26,'04_Потребность'!$C$4:$C$103,B26),0))</f>
        <v/>
      </c>
      <c r="AL26" s="25" t="str">
        <f>IF('03_Настройки'!$B$7="Нет","Нет",IF(COUNTIFS('04_Потребность'!$A$4:$A$103,A26,'04_Потребность'!$C$4:$C$103,B26,'04_Потребность'!$H$4:$H$103,"Да")&gt;0,"Да","Нет"))</f>
        <v>Нет</v>
      </c>
      <c r="AM26" s="30">
        <f t="shared" si="0"/>
        <v>0</v>
      </c>
      <c r="AN26" s="30">
        <f t="shared" si="1"/>
        <v>0</v>
      </c>
      <c r="AO26" s="29">
        <f t="shared" si="2"/>
        <v>0</v>
      </c>
      <c r="AP26" s="29">
        <f t="shared" si="3"/>
        <v>0</v>
      </c>
      <c r="AQ26" s="29">
        <f t="shared" si="4"/>
        <v>0</v>
      </c>
      <c r="AR26" s="29">
        <f>IFERROR(E26*'03_Настройки'!$B$4/365*(IF(T26&gt;0,T26*V26*(1+W26)*MAX(0,N26-U26),0)+IF(X26&gt;0,X26*Z26*(1+AA26)*MAX(0,N26-Y26),0)+IF(AB26&gt;0,AB26*AD26*(1+AE26)*MAX(0,N26-AC26),0)),0)</f>
        <v>0</v>
      </c>
      <c r="AS26" s="29">
        <f t="shared" si="5"/>
        <v>0</v>
      </c>
      <c r="AT26" s="31">
        <f t="shared" si="6"/>
        <v>0</v>
      </c>
      <c r="AU26" s="31">
        <f t="shared" si="7"/>
        <v>0</v>
      </c>
      <c r="AV26" s="32">
        <f t="shared" si="8"/>
        <v>0</v>
      </c>
      <c r="AW26" s="29" t="e">
        <f t="shared" si="9"/>
        <v>#VALUE!</v>
      </c>
      <c r="AX26" s="29">
        <f t="shared" si="10"/>
        <v>0</v>
      </c>
      <c r="AY26" s="29" t="e">
        <f t="shared" si="11"/>
        <v>#VALUE!</v>
      </c>
      <c r="AZ26" s="25" t="str">
        <f>IF(AND(A26&lt;&gt;"",B26&lt;&gt;"",C26&lt;&gt;"",D26&gt;0,E26&gt;0,N26&lt;&gt;"",AH26&gt;0,O26="Да",P26="Да",BZ26="ПОЛНО",ABS(AN26-1)&lt;='03_Настройки'!$B$5,IF(T26&gt;0,AND(U26&lt;&gt;"",V26&gt;0),TRUE()),IF(X26&gt;0,AND(Y26&lt;&gt;"",Z26&gt;0),TRUE()),IF(AB26&gt;0,AND(AC26&lt;&gt;"",AD26&gt;0),TRUE()),OR(BM26="",BM26="Активна")),"Да","Нет")</f>
        <v>Нет</v>
      </c>
      <c r="BA26" s="25" t="str">
        <f t="shared" si="12"/>
        <v>Нет</v>
      </c>
      <c r="BB26" s="25" t="str">
        <f t="shared" si="13"/>
        <v/>
      </c>
      <c r="BC26" s="25" t="str">
        <f t="shared" si="14"/>
        <v/>
      </c>
      <c r="BD26" s="25" t="str">
        <f t="shared" si="15"/>
        <v/>
      </c>
      <c r="BE26" s="25" t="str">
        <f>IF(A26="","",IF(BZ26&lt;&gt;"ПОЛНО","BLOCK: неполная форма",IF(O26&lt;&gt;"Да","BLOCK: ввоз не разрешён",IF(P26&lt;&gt;"Да","BLOCK: документы не подтверждены",IF(ABS(AN26-1)&gt;'03_Настройки'!$B$5,"BLOCK: платежи не 100%",IF(AND(BM26&lt;&gt;"",BM26&lt;&gt;"Активна"),"BLOCK: позиция "&amp;BM26,IF(BA26&lt;&gt;"Да","PARTIAL: не покрывает потребность",IF(BB26="ДА","самый дешёвый"&amp;IF(BC26="ДА"," + быстрый","")&amp;IF(BD26="ДА"," + optimal",""),IF(BC26="ДА","самый быстрый"&amp;IF(BD26="ДА"," + optimal",""),IF(BD26="ДА","optimal","Допущен"))))))))))</f>
        <v/>
      </c>
      <c r="BF26" s="25">
        <f>ROW()</f>
        <v>26</v>
      </c>
      <c r="BG26" s="33"/>
      <c r="BH26" s="33"/>
      <c r="BI26" s="33"/>
      <c r="BJ26" s="33"/>
      <c r="BK26" s="33"/>
      <c r="BL26" s="34"/>
      <c r="BM26" s="33"/>
      <c r="BN26" s="35" t="str">
        <f t="shared" si="16"/>
        <v/>
      </c>
      <c r="BO26" s="36" t="str">
        <f t="shared" si="17"/>
        <v/>
      </c>
      <c r="BP26" s="33"/>
      <c r="BQ26" s="38"/>
      <c r="BR26" s="13"/>
      <c r="BS26" s="13"/>
      <c r="BT26" s="13"/>
      <c r="BU26" s="13"/>
      <c r="BV26" s="13"/>
      <c r="BW26" s="13"/>
      <c r="BX26" s="39" t="str">
        <f t="shared" si="18"/>
        <v/>
      </c>
      <c r="BY26" s="47"/>
      <c r="BZ26" s="48" t="str">
        <f t="shared" si="19"/>
        <v/>
      </c>
      <c r="CA26" s="47"/>
      <c r="CB26" s="47"/>
      <c r="CC26" s="47"/>
    </row>
    <row r="27" spans="1:81" ht="14.25" x14ac:dyDescent="0.45">
      <c r="A27" s="10"/>
      <c r="B27" s="10"/>
      <c r="C27" s="10"/>
      <c r="D27" s="10"/>
      <c r="E27" s="10"/>
      <c r="F27" s="10"/>
      <c r="G27" s="10"/>
      <c r="H27" s="25" t="str">
        <f>IFERROR(VLOOKUP(C27,'01_Поставщики'!$A$4:$M$11,2,FALSE()),"")</f>
        <v/>
      </c>
      <c r="I27" s="10"/>
      <c r="J27" s="25" t="str">
        <f>IFERROR(VLOOKUP(C27,'01_Поставщики'!$A$4:$M$11,8,FALSE()),"")</f>
        <v/>
      </c>
      <c r="K27" s="25" t="str">
        <f>IFERROR(VLOOKUP(C27,'01_Поставщики'!$A$4:$M$11,4,FALSE()),"")</f>
        <v/>
      </c>
      <c r="L27" s="25" t="str">
        <f>IFERROR(VLOOKUP(C27,'01_Поставщики'!$A$4:$M$11,10,FALSE()),"")</f>
        <v/>
      </c>
      <c r="M27" s="26" t="str">
        <f>IF(OR(A27="",B27=""),"",IFERROR(SUMIFS('04_Потребность'!$B$4:$B$103,'04_Потребность'!$A$4:$A$103,A27,'04_Потребность'!$C$4:$C$103,B27),0))</f>
        <v/>
      </c>
      <c r="N27" s="11"/>
      <c r="O27" s="10"/>
      <c r="P27" s="10"/>
      <c r="Q27" s="27"/>
      <c r="R27" s="27"/>
      <c r="S27" s="8"/>
      <c r="T27" s="8">
        <f>IFERROR(INDEX('02_Схемы оплаты'!$C$4:$C$19,MATCH($C27&amp;"|"&amp;$G27,'02_Схемы оплаты'!$H$4:$H$19,0)),0)</f>
        <v>0</v>
      </c>
      <c r="U27" s="11"/>
      <c r="V27" s="28"/>
      <c r="W27" s="8"/>
      <c r="X27" s="8">
        <f>IFERROR(INDEX('02_Схемы оплаты'!$D$4:$D$19,MATCH($C27&amp;"|"&amp;$G27,'02_Схемы оплаты'!$H$4:$H$19,0)),0)</f>
        <v>0</v>
      </c>
      <c r="Y27" s="11"/>
      <c r="Z27" s="28"/>
      <c r="AA27" s="8"/>
      <c r="AB27" s="8">
        <f>IFERROR(INDEX('02_Схемы оплаты'!$E$4:$E$19,MATCH($C27&amp;"|"&amp;$G27,'02_Схемы оплаты'!$H$4:$H$19,0)),0)</f>
        <v>0</v>
      </c>
      <c r="AC27" s="11"/>
      <c r="AD27" s="28"/>
      <c r="AE27" s="8"/>
      <c r="AF27" s="10"/>
      <c r="AG27" s="10"/>
      <c r="AH27" s="25">
        <f>IFERROR(SUMIFS('04_Потребность'!$D$4:$D$103,'04_Потребность'!$A$4:$A$103,A27,'04_Потребность'!$C$4:$C$103,B27),0)</f>
        <v>0</v>
      </c>
      <c r="AI27" s="26" t="str">
        <f>IF(OR(A27="",B27=""),"",IFERROR(SUMIFS('04_Потребность'!$E$4:$E$103,'04_Потребность'!$A$4:$A$103,A27,'04_Потребность'!$C$4:$C$103,B27),0))</f>
        <v/>
      </c>
      <c r="AJ27" s="25" t="str">
        <f>IF(OR(A27="",B27=""),"",IFERROR(SUMIFS('04_Потребность'!$F$4:$F$103,'04_Потребность'!$A$4:$A$103,A27,'04_Потребность'!$C$4:$C$103,B27),0))</f>
        <v/>
      </c>
      <c r="AK27" s="29" t="str">
        <f>IF(OR(A27="",B27=""),"",IFERROR(SUMIFS('04_Потребность'!$G$4:$G$103,'04_Потребность'!$A$4:$A$103,A27,'04_Потребность'!$C$4:$C$103,B27),0))</f>
        <v/>
      </c>
      <c r="AL27" s="25" t="str">
        <f>IF('03_Настройки'!$B$7="Нет","Нет",IF(COUNTIFS('04_Потребность'!$A$4:$A$103,A27,'04_Потребность'!$C$4:$C$103,B27,'04_Потребность'!$H$4:$H$103,"Да")&gt;0,"Да","Нет"))</f>
        <v>Нет</v>
      </c>
      <c r="AM27" s="30">
        <f t="shared" si="0"/>
        <v>0</v>
      </c>
      <c r="AN27" s="30">
        <f t="shared" si="1"/>
        <v>0</v>
      </c>
      <c r="AO27" s="29">
        <f t="shared" si="2"/>
        <v>0</v>
      </c>
      <c r="AP27" s="29">
        <f t="shared" si="3"/>
        <v>0</v>
      </c>
      <c r="AQ27" s="29">
        <f t="shared" si="4"/>
        <v>0</v>
      </c>
      <c r="AR27" s="29">
        <f>IFERROR(E27*'03_Настройки'!$B$4/365*(IF(T27&gt;0,T27*V27*(1+W27)*MAX(0,N27-U27),0)+IF(X27&gt;0,X27*Z27*(1+AA27)*MAX(0,N27-Y27),0)+IF(AB27&gt;0,AB27*AD27*(1+AE27)*MAX(0,N27-AC27),0)),0)</f>
        <v>0</v>
      </c>
      <c r="AS27" s="29">
        <f t="shared" si="5"/>
        <v>0</v>
      </c>
      <c r="AT27" s="31">
        <f t="shared" si="6"/>
        <v>0</v>
      </c>
      <c r="AU27" s="31">
        <f t="shared" si="7"/>
        <v>0</v>
      </c>
      <c r="AV27" s="32">
        <f t="shared" si="8"/>
        <v>0</v>
      </c>
      <c r="AW27" s="29" t="e">
        <f t="shared" si="9"/>
        <v>#VALUE!</v>
      </c>
      <c r="AX27" s="29">
        <f t="shared" si="10"/>
        <v>0</v>
      </c>
      <c r="AY27" s="29" t="e">
        <f t="shared" si="11"/>
        <v>#VALUE!</v>
      </c>
      <c r="AZ27" s="25" t="str">
        <f>IF(AND(A27&lt;&gt;"",B27&lt;&gt;"",C27&lt;&gt;"",D27&gt;0,E27&gt;0,N27&lt;&gt;"",AH27&gt;0,O27="Да",P27="Да",BZ27="ПОЛНО",ABS(AN27-1)&lt;='03_Настройки'!$B$5,IF(T27&gt;0,AND(U27&lt;&gt;"",V27&gt;0),TRUE()),IF(X27&gt;0,AND(Y27&lt;&gt;"",Z27&gt;0),TRUE()),IF(AB27&gt;0,AND(AC27&lt;&gt;"",AD27&gt;0),TRUE()),OR(BM27="",BM27="Активна")),"Да","Нет")</f>
        <v>Нет</v>
      </c>
      <c r="BA27" s="25" t="str">
        <f t="shared" si="12"/>
        <v>Нет</v>
      </c>
      <c r="BB27" s="25" t="str">
        <f t="shared" si="13"/>
        <v/>
      </c>
      <c r="BC27" s="25" t="str">
        <f t="shared" si="14"/>
        <v/>
      </c>
      <c r="BD27" s="25" t="str">
        <f t="shared" si="15"/>
        <v/>
      </c>
      <c r="BE27" s="25" t="str">
        <f>IF(A27="","",IF(BZ27&lt;&gt;"ПОЛНО","BLOCK: неполная форма",IF(O27&lt;&gt;"Да","BLOCK: ввоз не разрешён",IF(P27&lt;&gt;"Да","BLOCK: документы не подтверждены",IF(ABS(AN27-1)&gt;'03_Настройки'!$B$5,"BLOCK: платежи не 100%",IF(AND(BM27&lt;&gt;"",BM27&lt;&gt;"Активна"),"BLOCK: позиция "&amp;BM27,IF(BA27&lt;&gt;"Да","PARTIAL: не покрывает потребность",IF(BB27="ДА","самый дешёвый"&amp;IF(BC27="ДА"," + быстрый","")&amp;IF(BD27="ДА"," + optimal",""),IF(BC27="ДА","самый быстрый"&amp;IF(BD27="ДА"," + optimal",""),IF(BD27="ДА","optimal","Допущен"))))))))))</f>
        <v/>
      </c>
      <c r="BF27" s="25">
        <f>ROW()</f>
        <v>27</v>
      </c>
      <c r="BG27" s="33"/>
      <c r="BH27" s="33"/>
      <c r="BI27" s="33"/>
      <c r="BJ27" s="33"/>
      <c r="BK27" s="33"/>
      <c r="BL27" s="34"/>
      <c r="BM27" s="33"/>
      <c r="BN27" s="35" t="str">
        <f t="shared" si="16"/>
        <v/>
      </c>
      <c r="BO27" s="36" t="str">
        <f t="shared" si="17"/>
        <v/>
      </c>
      <c r="BP27" s="33"/>
      <c r="BQ27" s="38"/>
      <c r="BR27" s="13"/>
      <c r="BS27" s="13"/>
      <c r="BT27" s="13"/>
      <c r="BU27" s="13"/>
      <c r="BV27" s="13"/>
      <c r="BW27" s="13"/>
      <c r="BX27" s="39" t="str">
        <f t="shared" si="18"/>
        <v/>
      </c>
      <c r="BY27" s="47"/>
      <c r="BZ27" s="48" t="str">
        <f t="shared" si="19"/>
        <v/>
      </c>
      <c r="CA27" s="47"/>
      <c r="CB27" s="47"/>
      <c r="CC27" s="47"/>
    </row>
    <row r="28" spans="1:81" ht="14.25" x14ac:dyDescent="0.45">
      <c r="A28" s="10"/>
      <c r="B28" s="10"/>
      <c r="C28" s="10"/>
      <c r="D28" s="10"/>
      <c r="E28" s="10"/>
      <c r="F28" s="10"/>
      <c r="G28" s="10"/>
      <c r="H28" s="25" t="str">
        <f>IFERROR(VLOOKUP(C28,'01_Поставщики'!$A$4:$M$11,2,FALSE()),"")</f>
        <v/>
      </c>
      <c r="I28" s="10"/>
      <c r="J28" s="25" t="str">
        <f>IFERROR(VLOOKUP(C28,'01_Поставщики'!$A$4:$M$11,8,FALSE()),"")</f>
        <v/>
      </c>
      <c r="K28" s="25" t="str">
        <f>IFERROR(VLOOKUP(C28,'01_Поставщики'!$A$4:$M$11,4,FALSE()),"")</f>
        <v/>
      </c>
      <c r="L28" s="25" t="str">
        <f>IFERROR(VLOOKUP(C28,'01_Поставщики'!$A$4:$M$11,10,FALSE()),"")</f>
        <v/>
      </c>
      <c r="M28" s="26" t="str">
        <f>IF(OR(A28="",B28=""),"",IFERROR(SUMIFS('04_Потребность'!$B$4:$B$103,'04_Потребность'!$A$4:$A$103,A28,'04_Потребность'!$C$4:$C$103,B28),0))</f>
        <v/>
      </c>
      <c r="N28" s="11"/>
      <c r="O28" s="10"/>
      <c r="P28" s="10"/>
      <c r="Q28" s="27"/>
      <c r="R28" s="27"/>
      <c r="S28" s="8"/>
      <c r="T28" s="8">
        <f>IFERROR(INDEX('02_Схемы оплаты'!$C$4:$C$19,MATCH($C28&amp;"|"&amp;$G28,'02_Схемы оплаты'!$H$4:$H$19,0)),0)</f>
        <v>0</v>
      </c>
      <c r="U28" s="11"/>
      <c r="V28" s="28"/>
      <c r="W28" s="8"/>
      <c r="X28" s="8">
        <f>IFERROR(INDEX('02_Схемы оплаты'!$D$4:$D$19,MATCH($C28&amp;"|"&amp;$G28,'02_Схемы оплаты'!$H$4:$H$19,0)),0)</f>
        <v>0</v>
      </c>
      <c r="Y28" s="11"/>
      <c r="Z28" s="28"/>
      <c r="AA28" s="8"/>
      <c r="AB28" s="8">
        <f>IFERROR(INDEX('02_Схемы оплаты'!$E$4:$E$19,MATCH($C28&amp;"|"&amp;$G28,'02_Схемы оплаты'!$H$4:$H$19,0)),0)</f>
        <v>0</v>
      </c>
      <c r="AC28" s="11"/>
      <c r="AD28" s="28"/>
      <c r="AE28" s="8"/>
      <c r="AF28" s="10"/>
      <c r="AG28" s="10"/>
      <c r="AH28" s="25">
        <f>IFERROR(SUMIFS('04_Потребность'!$D$4:$D$103,'04_Потребность'!$A$4:$A$103,A28,'04_Потребность'!$C$4:$C$103,B28),0)</f>
        <v>0</v>
      </c>
      <c r="AI28" s="26" t="str">
        <f>IF(OR(A28="",B28=""),"",IFERROR(SUMIFS('04_Потребность'!$E$4:$E$103,'04_Потребность'!$A$4:$A$103,A28,'04_Потребность'!$C$4:$C$103,B28),0))</f>
        <v/>
      </c>
      <c r="AJ28" s="25" t="str">
        <f>IF(OR(A28="",B28=""),"",IFERROR(SUMIFS('04_Потребность'!$F$4:$F$103,'04_Потребность'!$A$4:$A$103,A28,'04_Потребность'!$C$4:$C$103,B28),0))</f>
        <v/>
      </c>
      <c r="AK28" s="29" t="str">
        <f>IF(OR(A28="",B28=""),"",IFERROR(SUMIFS('04_Потребность'!$G$4:$G$103,'04_Потребность'!$A$4:$A$103,A28,'04_Потребность'!$C$4:$C$103,B28),0))</f>
        <v/>
      </c>
      <c r="AL28" s="25" t="str">
        <f>IF('03_Настройки'!$B$7="Нет","Нет",IF(COUNTIFS('04_Потребность'!$A$4:$A$103,A28,'04_Потребность'!$C$4:$C$103,B28,'04_Потребность'!$H$4:$H$103,"Да")&gt;0,"Да","Нет"))</f>
        <v>Нет</v>
      </c>
      <c r="AM28" s="30">
        <f t="shared" si="0"/>
        <v>0</v>
      </c>
      <c r="AN28" s="30">
        <f t="shared" si="1"/>
        <v>0</v>
      </c>
      <c r="AO28" s="29">
        <f t="shared" si="2"/>
        <v>0</v>
      </c>
      <c r="AP28" s="29">
        <f t="shared" si="3"/>
        <v>0</v>
      </c>
      <c r="AQ28" s="29">
        <f t="shared" si="4"/>
        <v>0</v>
      </c>
      <c r="AR28" s="29">
        <f>IFERROR(E28*'03_Настройки'!$B$4/365*(IF(T28&gt;0,T28*V28*(1+W28)*MAX(0,N28-U28),0)+IF(X28&gt;0,X28*Z28*(1+AA28)*MAX(0,N28-Y28),0)+IF(AB28&gt;0,AB28*AD28*(1+AE28)*MAX(0,N28-AC28),0)),0)</f>
        <v>0</v>
      </c>
      <c r="AS28" s="29">
        <f t="shared" si="5"/>
        <v>0</v>
      </c>
      <c r="AT28" s="31">
        <f t="shared" si="6"/>
        <v>0</v>
      </c>
      <c r="AU28" s="31">
        <f t="shared" si="7"/>
        <v>0</v>
      </c>
      <c r="AV28" s="32">
        <f t="shared" si="8"/>
        <v>0</v>
      </c>
      <c r="AW28" s="29" t="e">
        <f t="shared" si="9"/>
        <v>#VALUE!</v>
      </c>
      <c r="AX28" s="29">
        <f t="shared" si="10"/>
        <v>0</v>
      </c>
      <c r="AY28" s="29" t="e">
        <f t="shared" si="11"/>
        <v>#VALUE!</v>
      </c>
      <c r="AZ28" s="25" t="str">
        <f>IF(AND(A28&lt;&gt;"",B28&lt;&gt;"",C28&lt;&gt;"",D28&gt;0,E28&gt;0,N28&lt;&gt;"",AH28&gt;0,O28="Да",P28="Да",BZ28="ПОЛНО",ABS(AN28-1)&lt;='03_Настройки'!$B$5,IF(T28&gt;0,AND(U28&lt;&gt;"",V28&gt;0),TRUE()),IF(X28&gt;0,AND(Y28&lt;&gt;"",Z28&gt;0),TRUE()),IF(AB28&gt;0,AND(AC28&lt;&gt;"",AD28&gt;0),TRUE()),OR(BM28="",BM28="Активна")),"Да","Нет")</f>
        <v>Нет</v>
      </c>
      <c r="BA28" s="25" t="str">
        <f t="shared" si="12"/>
        <v>Нет</v>
      </c>
      <c r="BB28" s="25" t="str">
        <f t="shared" si="13"/>
        <v/>
      </c>
      <c r="BC28" s="25" t="str">
        <f t="shared" si="14"/>
        <v/>
      </c>
      <c r="BD28" s="25" t="str">
        <f t="shared" si="15"/>
        <v/>
      </c>
      <c r="BE28" s="25" t="str">
        <f>IF(A28="","",IF(BZ28&lt;&gt;"ПОЛНО","BLOCK: неполная форма",IF(O28&lt;&gt;"Да","BLOCK: ввоз не разрешён",IF(P28&lt;&gt;"Да","BLOCK: документы не подтверждены",IF(ABS(AN28-1)&gt;'03_Настройки'!$B$5,"BLOCK: платежи не 100%",IF(AND(BM28&lt;&gt;"",BM28&lt;&gt;"Активна"),"BLOCK: позиция "&amp;BM28,IF(BA28&lt;&gt;"Да","PARTIAL: не покрывает потребность",IF(BB28="ДА","самый дешёвый"&amp;IF(BC28="ДА"," + быстрый","")&amp;IF(BD28="ДА"," + optimal",""),IF(BC28="ДА","самый быстрый"&amp;IF(BD28="ДА"," + optimal",""),IF(BD28="ДА","optimal","Допущен"))))))))))</f>
        <v/>
      </c>
      <c r="BF28" s="25">
        <f>ROW()</f>
        <v>28</v>
      </c>
      <c r="BG28" s="33"/>
      <c r="BH28" s="33"/>
      <c r="BI28" s="33"/>
      <c r="BJ28" s="33"/>
      <c r="BK28" s="33"/>
      <c r="BL28" s="34"/>
      <c r="BM28" s="33"/>
      <c r="BN28" s="35" t="str">
        <f t="shared" si="16"/>
        <v/>
      </c>
      <c r="BO28" s="36" t="str">
        <f t="shared" si="17"/>
        <v/>
      </c>
      <c r="BP28" s="33"/>
      <c r="BQ28" s="38"/>
      <c r="BR28" s="13"/>
      <c r="BS28" s="13"/>
      <c r="BT28" s="13"/>
      <c r="BU28" s="13"/>
      <c r="BV28" s="13"/>
      <c r="BW28" s="13"/>
      <c r="BX28" s="39" t="str">
        <f t="shared" si="18"/>
        <v/>
      </c>
      <c r="BY28" s="47"/>
      <c r="BZ28" s="48" t="str">
        <f t="shared" si="19"/>
        <v/>
      </c>
      <c r="CA28" s="47"/>
      <c r="CB28" s="47"/>
      <c r="CC28" s="47"/>
    </row>
    <row r="29" spans="1:81" ht="14.25" x14ac:dyDescent="0.45">
      <c r="A29" s="10"/>
      <c r="B29" s="10"/>
      <c r="C29" s="10"/>
      <c r="D29" s="10"/>
      <c r="E29" s="10"/>
      <c r="F29" s="10"/>
      <c r="G29" s="10"/>
      <c r="H29" s="25" t="str">
        <f>IFERROR(VLOOKUP(C29,'01_Поставщики'!$A$4:$M$11,2,FALSE()),"")</f>
        <v/>
      </c>
      <c r="I29" s="10"/>
      <c r="J29" s="25" t="str">
        <f>IFERROR(VLOOKUP(C29,'01_Поставщики'!$A$4:$M$11,8,FALSE()),"")</f>
        <v/>
      </c>
      <c r="K29" s="25" t="str">
        <f>IFERROR(VLOOKUP(C29,'01_Поставщики'!$A$4:$M$11,4,FALSE()),"")</f>
        <v/>
      </c>
      <c r="L29" s="25" t="str">
        <f>IFERROR(VLOOKUP(C29,'01_Поставщики'!$A$4:$M$11,10,FALSE()),"")</f>
        <v/>
      </c>
      <c r="M29" s="26" t="str">
        <f>IF(OR(A29="",B29=""),"",IFERROR(SUMIFS('04_Потребность'!$B$4:$B$103,'04_Потребность'!$A$4:$A$103,A29,'04_Потребность'!$C$4:$C$103,B29),0))</f>
        <v/>
      </c>
      <c r="N29" s="11"/>
      <c r="O29" s="10"/>
      <c r="P29" s="10"/>
      <c r="Q29" s="27"/>
      <c r="R29" s="27"/>
      <c r="S29" s="8"/>
      <c r="T29" s="8">
        <f>IFERROR(INDEX('02_Схемы оплаты'!$C$4:$C$19,MATCH($C29&amp;"|"&amp;$G29,'02_Схемы оплаты'!$H$4:$H$19,0)),0)</f>
        <v>0</v>
      </c>
      <c r="U29" s="11"/>
      <c r="V29" s="28"/>
      <c r="W29" s="8"/>
      <c r="X29" s="8">
        <f>IFERROR(INDEX('02_Схемы оплаты'!$D$4:$D$19,MATCH($C29&amp;"|"&amp;$G29,'02_Схемы оплаты'!$H$4:$H$19,0)),0)</f>
        <v>0</v>
      </c>
      <c r="Y29" s="11"/>
      <c r="Z29" s="28"/>
      <c r="AA29" s="8"/>
      <c r="AB29" s="8">
        <f>IFERROR(INDEX('02_Схемы оплаты'!$E$4:$E$19,MATCH($C29&amp;"|"&amp;$G29,'02_Схемы оплаты'!$H$4:$H$19,0)),0)</f>
        <v>0</v>
      </c>
      <c r="AC29" s="11"/>
      <c r="AD29" s="28"/>
      <c r="AE29" s="8"/>
      <c r="AF29" s="10"/>
      <c r="AG29" s="10"/>
      <c r="AH29" s="25">
        <f>IFERROR(SUMIFS('04_Потребность'!$D$4:$D$103,'04_Потребность'!$A$4:$A$103,A29,'04_Потребность'!$C$4:$C$103,B29),0)</f>
        <v>0</v>
      </c>
      <c r="AI29" s="26" t="str">
        <f>IF(OR(A29="",B29=""),"",IFERROR(SUMIFS('04_Потребность'!$E$4:$E$103,'04_Потребность'!$A$4:$A$103,A29,'04_Потребность'!$C$4:$C$103,B29),0))</f>
        <v/>
      </c>
      <c r="AJ29" s="25" t="str">
        <f>IF(OR(A29="",B29=""),"",IFERROR(SUMIFS('04_Потребность'!$F$4:$F$103,'04_Потребность'!$A$4:$A$103,A29,'04_Потребность'!$C$4:$C$103,B29),0))</f>
        <v/>
      </c>
      <c r="AK29" s="29" t="str">
        <f>IF(OR(A29="",B29=""),"",IFERROR(SUMIFS('04_Потребность'!$G$4:$G$103,'04_Потребность'!$A$4:$A$103,A29,'04_Потребность'!$C$4:$C$103,B29),0))</f>
        <v/>
      </c>
      <c r="AL29" s="25" t="str">
        <f>IF('03_Настройки'!$B$7="Нет","Нет",IF(COUNTIFS('04_Потребность'!$A$4:$A$103,A29,'04_Потребность'!$C$4:$C$103,B29,'04_Потребность'!$H$4:$H$103,"Да")&gt;0,"Да","Нет"))</f>
        <v>Нет</v>
      </c>
      <c r="AM29" s="30">
        <f t="shared" si="0"/>
        <v>0</v>
      </c>
      <c r="AN29" s="30">
        <f t="shared" si="1"/>
        <v>0</v>
      </c>
      <c r="AO29" s="29">
        <f t="shared" si="2"/>
        <v>0</v>
      </c>
      <c r="AP29" s="29">
        <f t="shared" si="3"/>
        <v>0</v>
      </c>
      <c r="AQ29" s="29">
        <f t="shared" si="4"/>
        <v>0</v>
      </c>
      <c r="AR29" s="29">
        <f>IFERROR(E29*'03_Настройки'!$B$4/365*(IF(T29&gt;0,T29*V29*(1+W29)*MAX(0,N29-U29),0)+IF(X29&gt;0,X29*Z29*(1+AA29)*MAX(0,N29-Y29),0)+IF(AB29&gt;0,AB29*AD29*(1+AE29)*MAX(0,N29-AC29),0)),0)</f>
        <v>0</v>
      </c>
      <c r="AS29" s="29">
        <f t="shared" si="5"/>
        <v>0</v>
      </c>
      <c r="AT29" s="31">
        <f t="shared" si="6"/>
        <v>0</v>
      </c>
      <c r="AU29" s="31">
        <f t="shared" si="7"/>
        <v>0</v>
      </c>
      <c r="AV29" s="32">
        <f t="shared" si="8"/>
        <v>0</v>
      </c>
      <c r="AW29" s="29" t="e">
        <f t="shared" si="9"/>
        <v>#VALUE!</v>
      </c>
      <c r="AX29" s="29">
        <f t="shared" si="10"/>
        <v>0</v>
      </c>
      <c r="AY29" s="29" t="e">
        <f t="shared" si="11"/>
        <v>#VALUE!</v>
      </c>
      <c r="AZ29" s="25" t="str">
        <f>IF(AND(A29&lt;&gt;"",B29&lt;&gt;"",C29&lt;&gt;"",D29&gt;0,E29&gt;0,N29&lt;&gt;"",AH29&gt;0,O29="Да",P29="Да",BZ29="ПОЛНО",ABS(AN29-1)&lt;='03_Настройки'!$B$5,IF(T29&gt;0,AND(U29&lt;&gt;"",V29&gt;0),TRUE()),IF(X29&gt;0,AND(Y29&lt;&gt;"",Z29&gt;0),TRUE()),IF(AB29&gt;0,AND(AC29&lt;&gt;"",AD29&gt;0),TRUE()),OR(BM29="",BM29="Активна")),"Да","Нет")</f>
        <v>Нет</v>
      </c>
      <c r="BA29" s="25" t="str">
        <f t="shared" si="12"/>
        <v>Нет</v>
      </c>
      <c r="BB29" s="25" t="str">
        <f t="shared" si="13"/>
        <v/>
      </c>
      <c r="BC29" s="25" t="str">
        <f t="shared" si="14"/>
        <v/>
      </c>
      <c r="BD29" s="25" t="str">
        <f t="shared" si="15"/>
        <v/>
      </c>
      <c r="BE29" s="25" t="str">
        <f>IF(A29="","",IF(BZ29&lt;&gt;"ПОЛНО","BLOCK: неполная форма",IF(O29&lt;&gt;"Да","BLOCK: ввоз не разрешён",IF(P29&lt;&gt;"Да","BLOCK: документы не подтверждены",IF(ABS(AN29-1)&gt;'03_Настройки'!$B$5,"BLOCK: платежи не 100%",IF(AND(BM29&lt;&gt;"",BM29&lt;&gt;"Активна"),"BLOCK: позиция "&amp;BM29,IF(BA29&lt;&gt;"Да","PARTIAL: не покрывает потребность",IF(BB29="ДА","самый дешёвый"&amp;IF(BC29="ДА"," + быстрый","")&amp;IF(BD29="ДА"," + optimal",""),IF(BC29="ДА","самый быстрый"&amp;IF(BD29="ДА"," + optimal",""),IF(BD29="ДА","optimal","Допущен"))))))))))</f>
        <v/>
      </c>
      <c r="BF29" s="25">
        <f>ROW()</f>
        <v>29</v>
      </c>
      <c r="BG29" s="33"/>
      <c r="BH29" s="33"/>
      <c r="BI29" s="33"/>
      <c r="BJ29" s="33"/>
      <c r="BK29" s="33"/>
      <c r="BL29" s="34"/>
      <c r="BM29" s="33"/>
      <c r="BN29" s="35" t="str">
        <f t="shared" si="16"/>
        <v/>
      </c>
      <c r="BO29" s="36" t="str">
        <f t="shared" si="17"/>
        <v/>
      </c>
      <c r="BP29" s="33"/>
      <c r="BQ29" s="38"/>
      <c r="BR29" s="13"/>
      <c r="BS29" s="13"/>
      <c r="BT29" s="13"/>
      <c r="BU29" s="13"/>
      <c r="BV29" s="13"/>
      <c r="BW29" s="13"/>
      <c r="BX29" s="39" t="str">
        <f t="shared" si="18"/>
        <v/>
      </c>
      <c r="BY29" s="47"/>
      <c r="BZ29" s="48" t="str">
        <f t="shared" si="19"/>
        <v/>
      </c>
      <c r="CA29" s="47"/>
      <c r="CB29" s="47"/>
      <c r="CC29" s="47"/>
    </row>
    <row r="30" spans="1:81" ht="14.25" x14ac:dyDescent="0.45">
      <c r="A30" s="10"/>
      <c r="B30" s="10"/>
      <c r="C30" s="10"/>
      <c r="D30" s="10"/>
      <c r="E30" s="10"/>
      <c r="F30" s="10"/>
      <c r="G30" s="10"/>
      <c r="H30" s="25" t="str">
        <f>IFERROR(VLOOKUP(C30,'01_Поставщики'!$A$4:$M$11,2,FALSE()),"")</f>
        <v/>
      </c>
      <c r="I30" s="10"/>
      <c r="J30" s="25" t="str">
        <f>IFERROR(VLOOKUP(C30,'01_Поставщики'!$A$4:$M$11,8,FALSE()),"")</f>
        <v/>
      </c>
      <c r="K30" s="25" t="str">
        <f>IFERROR(VLOOKUP(C30,'01_Поставщики'!$A$4:$M$11,4,FALSE()),"")</f>
        <v/>
      </c>
      <c r="L30" s="25" t="str">
        <f>IFERROR(VLOOKUP(C30,'01_Поставщики'!$A$4:$M$11,10,FALSE()),"")</f>
        <v/>
      </c>
      <c r="M30" s="26" t="str">
        <f>IF(OR(A30="",B30=""),"",IFERROR(SUMIFS('04_Потребность'!$B$4:$B$103,'04_Потребность'!$A$4:$A$103,A30,'04_Потребность'!$C$4:$C$103,B30),0))</f>
        <v/>
      </c>
      <c r="N30" s="11"/>
      <c r="O30" s="10"/>
      <c r="P30" s="10"/>
      <c r="Q30" s="27"/>
      <c r="R30" s="27"/>
      <c r="S30" s="8"/>
      <c r="T30" s="8">
        <f>IFERROR(INDEX('02_Схемы оплаты'!$C$4:$C$19,MATCH($C30&amp;"|"&amp;$G30,'02_Схемы оплаты'!$H$4:$H$19,0)),0)</f>
        <v>0</v>
      </c>
      <c r="U30" s="11"/>
      <c r="V30" s="28"/>
      <c r="W30" s="8"/>
      <c r="X30" s="8">
        <f>IFERROR(INDEX('02_Схемы оплаты'!$D$4:$D$19,MATCH($C30&amp;"|"&amp;$G30,'02_Схемы оплаты'!$H$4:$H$19,0)),0)</f>
        <v>0</v>
      </c>
      <c r="Y30" s="11"/>
      <c r="Z30" s="28"/>
      <c r="AA30" s="8"/>
      <c r="AB30" s="8">
        <f>IFERROR(INDEX('02_Схемы оплаты'!$E$4:$E$19,MATCH($C30&amp;"|"&amp;$G30,'02_Схемы оплаты'!$H$4:$H$19,0)),0)</f>
        <v>0</v>
      </c>
      <c r="AC30" s="11"/>
      <c r="AD30" s="28"/>
      <c r="AE30" s="8"/>
      <c r="AF30" s="10"/>
      <c r="AG30" s="10"/>
      <c r="AH30" s="25">
        <f>IFERROR(SUMIFS('04_Потребность'!$D$4:$D$103,'04_Потребность'!$A$4:$A$103,A30,'04_Потребность'!$C$4:$C$103,B30),0)</f>
        <v>0</v>
      </c>
      <c r="AI30" s="26" t="str">
        <f>IF(OR(A30="",B30=""),"",IFERROR(SUMIFS('04_Потребность'!$E$4:$E$103,'04_Потребность'!$A$4:$A$103,A30,'04_Потребность'!$C$4:$C$103,B30),0))</f>
        <v/>
      </c>
      <c r="AJ30" s="25" t="str">
        <f>IF(OR(A30="",B30=""),"",IFERROR(SUMIFS('04_Потребность'!$F$4:$F$103,'04_Потребность'!$A$4:$A$103,A30,'04_Потребность'!$C$4:$C$103,B30),0))</f>
        <v/>
      </c>
      <c r="AK30" s="29" t="str">
        <f>IF(OR(A30="",B30=""),"",IFERROR(SUMIFS('04_Потребность'!$G$4:$G$103,'04_Потребность'!$A$4:$A$103,A30,'04_Потребность'!$C$4:$C$103,B30),0))</f>
        <v/>
      </c>
      <c r="AL30" s="25" t="str">
        <f>IF('03_Настройки'!$B$7="Нет","Нет",IF(COUNTIFS('04_Потребность'!$A$4:$A$103,A30,'04_Потребность'!$C$4:$C$103,B30,'04_Потребность'!$H$4:$H$103,"Да")&gt;0,"Да","Нет"))</f>
        <v>Нет</v>
      </c>
      <c r="AM30" s="30">
        <f t="shared" si="0"/>
        <v>0</v>
      </c>
      <c r="AN30" s="30">
        <f t="shared" si="1"/>
        <v>0</v>
      </c>
      <c r="AO30" s="29">
        <f t="shared" si="2"/>
        <v>0</v>
      </c>
      <c r="AP30" s="29">
        <f t="shared" si="3"/>
        <v>0</v>
      </c>
      <c r="AQ30" s="29">
        <f t="shared" si="4"/>
        <v>0</v>
      </c>
      <c r="AR30" s="29">
        <f>IFERROR(E30*'03_Настройки'!$B$4/365*(IF(T30&gt;0,T30*V30*(1+W30)*MAX(0,N30-U30),0)+IF(X30&gt;0,X30*Z30*(1+AA30)*MAX(0,N30-Y30),0)+IF(AB30&gt;0,AB30*AD30*(1+AE30)*MAX(0,N30-AC30),0)),0)</f>
        <v>0</v>
      </c>
      <c r="AS30" s="29">
        <f t="shared" si="5"/>
        <v>0</v>
      </c>
      <c r="AT30" s="31">
        <f t="shared" si="6"/>
        <v>0</v>
      </c>
      <c r="AU30" s="31">
        <f t="shared" si="7"/>
        <v>0</v>
      </c>
      <c r="AV30" s="32">
        <f t="shared" si="8"/>
        <v>0</v>
      </c>
      <c r="AW30" s="29" t="e">
        <f t="shared" si="9"/>
        <v>#VALUE!</v>
      </c>
      <c r="AX30" s="29">
        <f t="shared" si="10"/>
        <v>0</v>
      </c>
      <c r="AY30" s="29" t="e">
        <f t="shared" si="11"/>
        <v>#VALUE!</v>
      </c>
      <c r="AZ30" s="25" t="str">
        <f>IF(AND(A30&lt;&gt;"",B30&lt;&gt;"",C30&lt;&gt;"",D30&gt;0,E30&gt;0,N30&lt;&gt;"",AH30&gt;0,O30="Да",P30="Да",BZ30="ПОЛНО",ABS(AN30-1)&lt;='03_Настройки'!$B$5,IF(T30&gt;0,AND(U30&lt;&gt;"",V30&gt;0),TRUE()),IF(X30&gt;0,AND(Y30&lt;&gt;"",Z30&gt;0),TRUE()),IF(AB30&gt;0,AND(AC30&lt;&gt;"",AD30&gt;0),TRUE()),OR(BM30="",BM30="Активна")),"Да","Нет")</f>
        <v>Нет</v>
      </c>
      <c r="BA30" s="25" t="str">
        <f t="shared" si="12"/>
        <v>Нет</v>
      </c>
      <c r="BB30" s="25" t="str">
        <f t="shared" si="13"/>
        <v/>
      </c>
      <c r="BC30" s="25" t="str">
        <f t="shared" si="14"/>
        <v/>
      </c>
      <c r="BD30" s="25" t="str">
        <f t="shared" si="15"/>
        <v/>
      </c>
      <c r="BE30" s="25" t="str">
        <f>IF(A30="","",IF(BZ30&lt;&gt;"ПОЛНО","BLOCK: неполная форма",IF(O30&lt;&gt;"Да","BLOCK: ввоз не разрешён",IF(P30&lt;&gt;"Да","BLOCK: документы не подтверждены",IF(ABS(AN30-1)&gt;'03_Настройки'!$B$5,"BLOCK: платежи не 100%",IF(AND(BM30&lt;&gt;"",BM30&lt;&gt;"Активна"),"BLOCK: позиция "&amp;BM30,IF(BA30&lt;&gt;"Да","PARTIAL: не покрывает потребность",IF(BB30="ДА","самый дешёвый"&amp;IF(BC30="ДА"," + быстрый","")&amp;IF(BD30="ДА"," + optimal",""),IF(BC30="ДА","самый быстрый"&amp;IF(BD30="ДА"," + optimal",""),IF(BD30="ДА","optimal","Допущен"))))))))))</f>
        <v/>
      </c>
      <c r="BF30" s="25">
        <f>ROW()</f>
        <v>30</v>
      </c>
      <c r="BG30" s="33"/>
      <c r="BH30" s="33"/>
      <c r="BI30" s="33"/>
      <c r="BJ30" s="33"/>
      <c r="BK30" s="33"/>
      <c r="BL30" s="34"/>
      <c r="BM30" s="33"/>
      <c r="BN30" s="35" t="str">
        <f t="shared" si="16"/>
        <v/>
      </c>
      <c r="BO30" s="36" t="str">
        <f t="shared" si="17"/>
        <v/>
      </c>
      <c r="BP30" s="33"/>
      <c r="BQ30" s="38"/>
      <c r="BR30" s="13"/>
      <c r="BS30" s="13"/>
      <c r="BT30" s="13"/>
      <c r="BU30" s="13"/>
      <c r="BV30" s="13"/>
      <c r="BW30" s="13"/>
      <c r="BX30" s="39" t="str">
        <f t="shared" si="18"/>
        <v/>
      </c>
      <c r="BY30" s="47"/>
      <c r="BZ30" s="48" t="str">
        <f t="shared" si="19"/>
        <v/>
      </c>
      <c r="CA30" s="47"/>
      <c r="CB30" s="47"/>
      <c r="CC30" s="47"/>
    </row>
    <row r="31" spans="1:81" ht="14.25" x14ac:dyDescent="0.45">
      <c r="A31" s="10"/>
      <c r="B31" s="10"/>
      <c r="C31" s="10"/>
      <c r="D31" s="10"/>
      <c r="E31" s="10"/>
      <c r="F31" s="10"/>
      <c r="G31" s="10"/>
      <c r="H31" s="25" t="str">
        <f>IFERROR(VLOOKUP(C31,'01_Поставщики'!$A$4:$M$11,2,FALSE()),"")</f>
        <v/>
      </c>
      <c r="I31" s="10"/>
      <c r="J31" s="25" t="str">
        <f>IFERROR(VLOOKUP(C31,'01_Поставщики'!$A$4:$M$11,8,FALSE()),"")</f>
        <v/>
      </c>
      <c r="K31" s="25" t="str">
        <f>IFERROR(VLOOKUP(C31,'01_Поставщики'!$A$4:$M$11,4,FALSE()),"")</f>
        <v/>
      </c>
      <c r="L31" s="25" t="str">
        <f>IFERROR(VLOOKUP(C31,'01_Поставщики'!$A$4:$M$11,10,FALSE()),"")</f>
        <v/>
      </c>
      <c r="M31" s="26" t="str">
        <f>IF(OR(A31="",B31=""),"",IFERROR(SUMIFS('04_Потребность'!$B$4:$B$103,'04_Потребность'!$A$4:$A$103,A31,'04_Потребность'!$C$4:$C$103,B31),0))</f>
        <v/>
      </c>
      <c r="N31" s="11"/>
      <c r="O31" s="10"/>
      <c r="P31" s="10"/>
      <c r="Q31" s="27"/>
      <c r="R31" s="27"/>
      <c r="S31" s="8"/>
      <c r="T31" s="8">
        <f>IFERROR(INDEX('02_Схемы оплаты'!$C$4:$C$19,MATCH($C31&amp;"|"&amp;$G31,'02_Схемы оплаты'!$H$4:$H$19,0)),0)</f>
        <v>0</v>
      </c>
      <c r="U31" s="11"/>
      <c r="V31" s="28"/>
      <c r="W31" s="8"/>
      <c r="X31" s="8">
        <f>IFERROR(INDEX('02_Схемы оплаты'!$D$4:$D$19,MATCH($C31&amp;"|"&amp;$G31,'02_Схемы оплаты'!$H$4:$H$19,0)),0)</f>
        <v>0</v>
      </c>
      <c r="Y31" s="11"/>
      <c r="Z31" s="28"/>
      <c r="AA31" s="8"/>
      <c r="AB31" s="8">
        <f>IFERROR(INDEX('02_Схемы оплаты'!$E$4:$E$19,MATCH($C31&amp;"|"&amp;$G31,'02_Схемы оплаты'!$H$4:$H$19,0)),0)</f>
        <v>0</v>
      </c>
      <c r="AC31" s="11"/>
      <c r="AD31" s="28"/>
      <c r="AE31" s="8"/>
      <c r="AF31" s="10"/>
      <c r="AG31" s="10"/>
      <c r="AH31" s="25">
        <f>IFERROR(SUMIFS('04_Потребность'!$D$4:$D$103,'04_Потребность'!$A$4:$A$103,A31,'04_Потребность'!$C$4:$C$103,B31),0)</f>
        <v>0</v>
      </c>
      <c r="AI31" s="26" t="str">
        <f>IF(OR(A31="",B31=""),"",IFERROR(SUMIFS('04_Потребность'!$E$4:$E$103,'04_Потребность'!$A$4:$A$103,A31,'04_Потребность'!$C$4:$C$103,B31),0))</f>
        <v/>
      </c>
      <c r="AJ31" s="25" t="str">
        <f>IF(OR(A31="",B31=""),"",IFERROR(SUMIFS('04_Потребность'!$F$4:$F$103,'04_Потребность'!$A$4:$A$103,A31,'04_Потребность'!$C$4:$C$103,B31),0))</f>
        <v/>
      </c>
      <c r="AK31" s="29" t="str">
        <f>IF(OR(A31="",B31=""),"",IFERROR(SUMIFS('04_Потребность'!$G$4:$G$103,'04_Потребность'!$A$4:$A$103,A31,'04_Потребность'!$C$4:$C$103,B31),0))</f>
        <v/>
      </c>
      <c r="AL31" s="25" t="str">
        <f>IF('03_Настройки'!$B$7="Нет","Нет",IF(COUNTIFS('04_Потребность'!$A$4:$A$103,A31,'04_Потребность'!$C$4:$C$103,B31,'04_Потребность'!$H$4:$H$103,"Да")&gt;0,"Да","Нет"))</f>
        <v>Нет</v>
      </c>
      <c r="AM31" s="30">
        <f t="shared" si="0"/>
        <v>0</v>
      </c>
      <c r="AN31" s="30">
        <f t="shared" si="1"/>
        <v>0</v>
      </c>
      <c r="AO31" s="29">
        <f t="shared" si="2"/>
        <v>0</v>
      </c>
      <c r="AP31" s="29">
        <f t="shared" si="3"/>
        <v>0</v>
      </c>
      <c r="AQ31" s="29">
        <f t="shared" si="4"/>
        <v>0</v>
      </c>
      <c r="AR31" s="29">
        <f>IFERROR(E31*'03_Настройки'!$B$4/365*(IF(T31&gt;0,T31*V31*(1+W31)*MAX(0,N31-U31),0)+IF(X31&gt;0,X31*Z31*(1+AA31)*MAX(0,N31-Y31),0)+IF(AB31&gt;0,AB31*AD31*(1+AE31)*MAX(0,N31-AC31),0)),0)</f>
        <v>0</v>
      </c>
      <c r="AS31" s="29">
        <f t="shared" si="5"/>
        <v>0</v>
      </c>
      <c r="AT31" s="31">
        <f t="shared" si="6"/>
        <v>0</v>
      </c>
      <c r="AU31" s="31">
        <f t="shared" si="7"/>
        <v>0</v>
      </c>
      <c r="AV31" s="32">
        <f t="shared" si="8"/>
        <v>0</v>
      </c>
      <c r="AW31" s="29" t="e">
        <f t="shared" si="9"/>
        <v>#VALUE!</v>
      </c>
      <c r="AX31" s="29">
        <f t="shared" si="10"/>
        <v>0</v>
      </c>
      <c r="AY31" s="29" t="e">
        <f t="shared" si="11"/>
        <v>#VALUE!</v>
      </c>
      <c r="AZ31" s="25" t="str">
        <f>IF(AND(A31&lt;&gt;"",B31&lt;&gt;"",C31&lt;&gt;"",D31&gt;0,E31&gt;0,N31&lt;&gt;"",AH31&gt;0,O31="Да",P31="Да",BZ31="ПОЛНО",ABS(AN31-1)&lt;='03_Настройки'!$B$5,IF(T31&gt;0,AND(U31&lt;&gt;"",V31&gt;0),TRUE()),IF(X31&gt;0,AND(Y31&lt;&gt;"",Z31&gt;0),TRUE()),IF(AB31&gt;0,AND(AC31&lt;&gt;"",AD31&gt;0),TRUE()),OR(BM31="",BM31="Активна")),"Да","Нет")</f>
        <v>Нет</v>
      </c>
      <c r="BA31" s="25" t="str">
        <f t="shared" si="12"/>
        <v>Нет</v>
      </c>
      <c r="BB31" s="25" t="str">
        <f t="shared" si="13"/>
        <v/>
      </c>
      <c r="BC31" s="25" t="str">
        <f t="shared" si="14"/>
        <v/>
      </c>
      <c r="BD31" s="25" t="str">
        <f t="shared" si="15"/>
        <v/>
      </c>
      <c r="BE31" s="25" t="str">
        <f>IF(A31="","",IF(BZ31&lt;&gt;"ПОЛНО","BLOCK: неполная форма",IF(O31&lt;&gt;"Да","BLOCK: ввоз не разрешён",IF(P31&lt;&gt;"Да","BLOCK: документы не подтверждены",IF(ABS(AN31-1)&gt;'03_Настройки'!$B$5,"BLOCK: платежи не 100%",IF(AND(BM31&lt;&gt;"",BM31&lt;&gt;"Активна"),"BLOCK: позиция "&amp;BM31,IF(BA31&lt;&gt;"Да","PARTIAL: не покрывает потребность",IF(BB31="ДА","самый дешёвый"&amp;IF(BC31="ДА"," + быстрый","")&amp;IF(BD31="ДА"," + optimal",""),IF(BC31="ДА","самый быстрый"&amp;IF(BD31="ДА"," + optimal",""),IF(BD31="ДА","optimal","Допущен"))))))))))</f>
        <v/>
      </c>
      <c r="BF31" s="25">
        <f>ROW()</f>
        <v>31</v>
      </c>
      <c r="BG31" s="33"/>
      <c r="BH31" s="33"/>
      <c r="BI31" s="33"/>
      <c r="BJ31" s="33"/>
      <c r="BK31" s="33"/>
      <c r="BL31" s="34"/>
      <c r="BM31" s="33"/>
      <c r="BN31" s="35" t="str">
        <f t="shared" si="16"/>
        <v/>
      </c>
      <c r="BO31" s="36" t="str">
        <f t="shared" si="17"/>
        <v/>
      </c>
      <c r="BP31" s="33"/>
      <c r="BQ31" s="38"/>
      <c r="BR31" s="13"/>
      <c r="BS31" s="13"/>
      <c r="BT31" s="13"/>
      <c r="BU31" s="13"/>
      <c r="BV31" s="13"/>
      <c r="BW31" s="13"/>
      <c r="BX31" s="39" t="str">
        <f t="shared" si="18"/>
        <v/>
      </c>
      <c r="BY31" s="47"/>
      <c r="BZ31" s="48" t="str">
        <f t="shared" si="19"/>
        <v/>
      </c>
      <c r="CA31" s="47"/>
      <c r="CB31" s="47"/>
      <c r="CC31" s="47"/>
    </row>
    <row r="32" spans="1:81" ht="14.25" x14ac:dyDescent="0.45">
      <c r="A32" s="10"/>
      <c r="B32" s="10"/>
      <c r="C32" s="10"/>
      <c r="D32" s="10"/>
      <c r="E32" s="10"/>
      <c r="F32" s="10"/>
      <c r="G32" s="10"/>
      <c r="H32" s="25" t="str">
        <f>IFERROR(VLOOKUP(C32,'01_Поставщики'!$A$4:$M$11,2,FALSE()),"")</f>
        <v/>
      </c>
      <c r="I32" s="10"/>
      <c r="J32" s="25" t="str">
        <f>IFERROR(VLOOKUP(C32,'01_Поставщики'!$A$4:$M$11,8,FALSE()),"")</f>
        <v/>
      </c>
      <c r="K32" s="25" t="str">
        <f>IFERROR(VLOOKUP(C32,'01_Поставщики'!$A$4:$M$11,4,FALSE()),"")</f>
        <v/>
      </c>
      <c r="L32" s="25" t="str">
        <f>IFERROR(VLOOKUP(C32,'01_Поставщики'!$A$4:$M$11,10,FALSE()),"")</f>
        <v/>
      </c>
      <c r="M32" s="26" t="str">
        <f>IF(OR(A32="",B32=""),"",IFERROR(SUMIFS('04_Потребность'!$B$4:$B$103,'04_Потребность'!$A$4:$A$103,A32,'04_Потребность'!$C$4:$C$103,B32),0))</f>
        <v/>
      </c>
      <c r="N32" s="11"/>
      <c r="O32" s="10"/>
      <c r="P32" s="10"/>
      <c r="Q32" s="27"/>
      <c r="R32" s="27"/>
      <c r="S32" s="8"/>
      <c r="T32" s="8">
        <f>IFERROR(INDEX('02_Схемы оплаты'!$C$4:$C$19,MATCH($C32&amp;"|"&amp;$G32,'02_Схемы оплаты'!$H$4:$H$19,0)),0)</f>
        <v>0</v>
      </c>
      <c r="U32" s="11"/>
      <c r="V32" s="28"/>
      <c r="W32" s="8"/>
      <c r="X32" s="8">
        <f>IFERROR(INDEX('02_Схемы оплаты'!$D$4:$D$19,MATCH($C32&amp;"|"&amp;$G32,'02_Схемы оплаты'!$H$4:$H$19,0)),0)</f>
        <v>0</v>
      </c>
      <c r="Y32" s="11"/>
      <c r="Z32" s="28"/>
      <c r="AA32" s="8"/>
      <c r="AB32" s="8">
        <f>IFERROR(INDEX('02_Схемы оплаты'!$E$4:$E$19,MATCH($C32&amp;"|"&amp;$G32,'02_Схемы оплаты'!$H$4:$H$19,0)),0)</f>
        <v>0</v>
      </c>
      <c r="AC32" s="11"/>
      <c r="AD32" s="28"/>
      <c r="AE32" s="8"/>
      <c r="AF32" s="10"/>
      <c r="AG32" s="10"/>
      <c r="AH32" s="25">
        <f>IFERROR(SUMIFS('04_Потребность'!$D$4:$D$103,'04_Потребность'!$A$4:$A$103,A32,'04_Потребность'!$C$4:$C$103,B32),0)</f>
        <v>0</v>
      </c>
      <c r="AI32" s="26" t="str">
        <f>IF(OR(A32="",B32=""),"",IFERROR(SUMIFS('04_Потребность'!$E$4:$E$103,'04_Потребность'!$A$4:$A$103,A32,'04_Потребность'!$C$4:$C$103,B32),0))</f>
        <v/>
      </c>
      <c r="AJ32" s="25" t="str">
        <f>IF(OR(A32="",B32=""),"",IFERROR(SUMIFS('04_Потребность'!$F$4:$F$103,'04_Потребность'!$A$4:$A$103,A32,'04_Потребность'!$C$4:$C$103,B32),0))</f>
        <v/>
      </c>
      <c r="AK32" s="29" t="str">
        <f>IF(OR(A32="",B32=""),"",IFERROR(SUMIFS('04_Потребность'!$G$4:$G$103,'04_Потребность'!$A$4:$A$103,A32,'04_Потребность'!$C$4:$C$103,B32),0))</f>
        <v/>
      </c>
      <c r="AL32" s="25" t="str">
        <f>IF('03_Настройки'!$B$7="Нет","Нет",IF(COUNTIFS('04_Потребность'!$A$4:$A$103,A32,'04_Потребность'!$C$4:$C$103,B32,'04_Потребность'!$H$4:$H$103,"Да")&gt;0,"Да","Нет"))</f>
        <v>Нет</v>
      </c>
      <c r="AM32" s="30">
        <f t="shared" si="0"/>
        <v>0</v>
      </c>
      <c r="AN32" s="30">
        <f t="shared" si="1"/>
        <v>0</v>
      </c>
      <c r="AO32" s="29">
        <f t="shared" si="2"/>
        <v>0</v>
      </c>
      <c r="AP32" s="29">
        <f t="shared" si="3"/>
        <v>0</v>
      </c>
      <c r="AQ32" s="29">
        <f t="shared" si="4"/>
        <v>0</v>
      </c>
      <c r="AR32" s="29">
        <f>IFERROR(E32*'03_Настройки'!$B$4/365*(IF(T32&gt;0,T32*V32*(1+W32)*MAX(0,N32-U32),0)+IF(X32&gt;0,X32*Z32*(1+AA32)*MAX(0,N32-Y32),0)+IF(AB32&gt;0,AB32*AD32*(1+AE32)*MAX(0,N32-AC32),0)),0)</f>
        <v>0</v>
      </c>
      <c r="AS32" s="29">
        <f t="shared" si="5"/>
        <v>0</v>
      </c>
      <c r="AT32" s="31">
        <f t="shared" si="6"/>
        <v>0</v>
      </c>
      <c r="AU32" s="31">
        <f t="shared" si="7"/>
        <v>0</v>
      </c>
      <c r="AV32" s="32">
        <f t="shared" si="8"/>
        <v>0</v>
      </c>
      <c r="AW32" s="29" t="e">
        <f t="shared" si="9"/>
        <v>#VALUE!</v>
      </c>
      <c r="AX32" s="29">
        <f t="shared" si="10"/>
        <v>0</v>
      </c>
      <c r="AY32" s="29" t="e">
        <f t="shared" si="11"/>
        <v>#VALUE!</v>
      </c>
      <c r="AZ32" s="25" t="str">
        <f>IF(AND(A32&lt;&gt;"",B32&lt;&gt;"",C32&lt;&gt;"",D32&gt;0,E32&gt;0,N32&lt;&gt;"",AH32&gt;0,O32="Да",P32="Да",BZ32="ПОЛНО",ABS(AN32-1)&lt;='03_Настройки'!$B$5,IF(T32&gt;0,AND(U32&lt;&gt;"",V32&gt;0),TRUE()),IF(X32&gt;0,AND(Y32&lt;&gt;"",Z32&gt;0),TRUE()),IF(AB32&gt;0,AND(AC32&lt;&gt;"",AD32&gt;0),TRUE()),OR(BM32="",BM32="Активна")),"Да","Нет")</f>
        <v>Нет</v>
      </c>
      <c r="BA32" s="25" t="str">
        <f t="shared" si="12"/>
        <v>Нет</v>
      </c>
      <c r="BB32" s="25" t="str">
        <f t="shared" si="13"/>
        <v/>
      </c>
      <c r="BC32" s="25" t="str">
        <f t="shared" si="14"/>
        <v/>
      </c>
      <c r="BD32" s="25" t="str">
        <f t="shared" si="15"/>
        <v/>
      </c>
      <c r="BE32" s="25" t="str">
        <f>IF(A32="","",IF(BZ32&lt;&gt;"ПОЛНО","BLOCK: неполная форма",IF(O32&lt;&gt;"Да","BLOCK: ввоз не разрешён",IF(P32&lt;&gt;"Да","BLOCK: документы не подтверждены",IF(ABS(AN32-1)&gt;'03_Настройки'!$B$5,"BLOCK: платежи не 100%",IF(AND(BM32&lt;&gt;"",BM32&lt;&gt;"Активна"),"BLOCK: позиция "&amp;BM32,IF(BA32&lt;&gt;"Да","PARTIAL: не покрывает потребность",IF(BB32="ДА","самый дешёвый"&amp;IF(BC32="ДА"," + быстрый","")&amp;IF(BD32="ДА"," + optimal",""),IF(BC32="ДА","самый быстрый"&amp;IF(BD32="ДА"," + optimal",""),IF(BD32="ДА","optimal","Допущен"))))))))))</f>
        <v/>
      </c>
      <c r="BF32" s="25">
        <f>ROW()</f>
        <v>32</v>
      </c>
      <c r="BG32" s="33"/>
      <c r="BH32" s="33"/>
      <c r="BI32" s="33"/>
      <c r="BJ32" s="33"/>
      <c r="BK32" s="33"/>
      <c r="BL32" s="34"/>
      <c r="BM32" s="33"/>
      <c r="BN32" s="35" t="str">
        <f t="shared" si="16"/>
        <v/>
      </c>
      <c r="BO32" s="36" t="str">
        <f t="shared" si="17"/>
        <v/>
      </c>
      <c r="BP32" s="33"/>
      <c r="BQ32" s="38"/>
      <c r="BR32" s="13"/>
      <c r="BS32" s="13"/>
      <c r="BT32" s="13"/>
      <c r="BU32" s="13"/>
      <c r="BV32" s="13"/>
      <c r="BW32" s="13"/>
      <c r="BX32" s="39" t="str">
        <f t="shared" si="18"/>
        <v/>
      </c>
      <c r="BY32" s="47"/>
      <c r="BZ32" s="48" t="str">
        <f t="shared" si="19"/>
        <v/>
      </c>
      <c r="CA32" s="47"/>
      <c r="CB32" s="47"/>
      <c r="CC32" s="47"/>
    </row>
    <row r="33" spans="1:81" ht="14.25" x14ac:dyDescent="0.45">
      <c r="A33" s="10"/>
      <c r="B33" s="10"/>
      <c r="C33" s="10"/>
      <c r="D33" s="10"/>
      <c r="E33" s="10"/>
      <c r="F33" s="10"/>
      <c r="G33" s="10"/>
      <c r="H33" s="25" t="str">
        <f>IFERROR(VLOOKUP(C33,'01_Поставщики'!$A$4:$M$11,2,FALSE()),"")</f>
        <v/>
      </c>
      <c r="I33" s="10"/>
      <c r="J33" s="25" t="str">
        <f>IFERROR(VLOOKUP(C33,'01_Поставщики'!$A$4:$M$11,8,FALSE()),"")</f>
        <v/>
      </c>
      <c r="K33" s="25" t="str">
        <f>IFERROR(VLOOKUP(C33,'01_Поставщики'!$A$4:$M$11,4,FALSE()),"")</f>
        <v/>
      </c>
      <c r="L33" s="25" t="str">
        <f>IFERROR(VLOOKUP(C33,'01_Поставщики'!$A$4:$M$11,10,FALSE()),"")</f>
        <v/>
      </c>
      <c r="M33" s="26" t="str">
        <f>IF(OR(A33="",B33=""),"",IFERROR(SUMIFS('04_Потребность'!$B$4:$B$103,'04_Потребность'!$A$4:$A$103,A33,'04_Потребность'!$C$4:$C$103,B33),0))</f>
        <v/>
      </c>
      <c r="N33" s="11"/>
      <c r="O33" s="10"/>
      <c r="P33" s="10"/>
      <c r="Q33" s="27"/>
      <c r="R33" s="27"/>
      <c r="S33" s="8"/>
      <c r="T33" s="8">
        <f>IFERROR(INDEX('02_Схемы оплаты'!$C$4:$C$19,MATCH($C33&amp;"|"&amp;$G33,'02_Схемы оплаты'!$H$4:$H$19,0)),0)</f>
        <v>0</v>
      </c>
      <c r="U33" s="11"/>
      <c r="V33" s="28"/>
      <c r="W33" s="8"/>
      <c r="X33" s="8">
        <f>IFERROR(INDEX('02_Схемы оплаты'!$D$4:$D$19,MATCH($C33&amp;"|"&amp;$G33,'02_Схемы оплаты'!$H$4:$H$19,0)),0)</f>
        <v>0</v>
      </c>
      <c r="Y33" s="11"/>
      <c r="Z33" s="28"/>
      <c r="AA33" s="8"/>
      <c r="AB33" s="8">
        <f>IFERROR(INDEX('02_Схемы оплаты'!$E$4:$E$19,MATCH($C33&amp;"|"&amp;$G33,'02_Схемы оплаты'!$H$4:$H$19,0)),0)</f>
        <v>0</v>
      </c>
      <c r="AC33" s="11"/>
      <c r="AD33" s="28"/>
      <c r="AE33" s="8"/>
      <c r="AF33" s="10"/>
      <c r="AG33" s="10"/>
      <c r="AH33" s="25">
        <f>IFERROR(SUMIFS('04_Потребность'!$D$4:$D$103,'04_Потребность'!$A$4:$A$103,A33,'04_Потребность'!$C$4:$C$103,B33),0)</f>
        <v>0</v>
      </c>
      <c r="AI33" s="26" t="str">
        <f>IF(OR(A33="",B33=""),"",IFERROR(SUMIFS('04_Потребность'!$E$4:$E$103,'04_Потребность'!$A$4:$A$103,A33,'04_Потребность'!$C$4:$C$103,B33),0))</f>
        <v/>
      </c>
      <c r="AJ33" s="25" t="str">
        <f>IF(OR(A33="",B33=""),"",IFERROR(SUMIFS('04_Потребность'!$F$4:$F$103,'04_Потребность'!$A$4:$A$103,A33,'04_Потребность'!$C$4:$C$103,B33),0))</f>
        <v/>
      </c>
      <c r="AK33" s="29" t="str">
        <f>IF(OR(A33="",B33=""),"",IFERROR(SUMIFS('04_Потребность'!$G$4:$G$103,'04_Потребность'!$A$4:$A$103,A33,'04_Потребность'!$C$4:$C$103,B33),0))</f>
        <v/>
      </c>
      <c r="AL33" s="25" t="str">
        <f>IF('03_Настройки'!$B$7="Нет","Нет",IF(COUNTIFS('04_Потребность'!$A$4:$A$103,A33,'04_Потребность'!$C$4:$C$103,B33,'04_Потребность'!$H$4:$H$103,"Да")&gt;0,"Да","Нет"))</f>
        <v>Нет</v>
      </c>
      <c r="AM33" s="30">
        <f t="shared" si="0"/>
        <v>0</v>
      </c>
      <c r="AN33" s="30">
        <f t="shared" si="1"/>
        <v>0</v>
      </c>
      <c r="AO33" s="29">
        <f t="shared" si="2"/>
        <v>0</v>
      </c>
      <c r="AP33" s="29">
        <f t="shared" si="3"/>
        <v>0</v>
      </c>
      <c r="AQ33" s="29">
        <f t="shared" si="4"/>
        <v>0</v>
      </c>
      <c r="AR33" s="29">
        <f>IFERROR(E33*'03_Настройки'!$B$4/365*(IF(T33&gt;0,T33*V33*(1+W33)*MAX(0,N33-U33),0)+IF(X33&gt;0,X33*Z33*(1+AA33)*MAX(0,N33-Y33),0)+IF(AB33&gt;0,AB33*AD33*(1+AE33)*MAX(0,N33-AC33),0)),0)</f>
        <v>0</v>
      </c>
      <c r="AS33" s="29">
        <f t="shared" si="5"/>
        <v>0</v>
      </c>
      <c r="AT33" s="31">
        <f t="shared" si="6"/>
        <v>0</v>
      </c>
      <c r="AU33" s="31">
        <f t="shared" si="7"/>
        <v>0</v>
      </c>
      <c r="AV33" s="32">
        <f t="shared" si="8"/>
        <v>0</v>
      </c>
      <c r="AW33" s="29" t="e">
        <f t="shared" si="9"/>
        <v>#VALUE!</v>
      </c>
      <c r="AX33" s="29">
        <f t="shared" si="10"/>
        <v>0</v>
      </c>
      <c r="AY33" s="29" t="e">
        <f t="shared" si="11"/>
        <v>#VALUE!</v>
      </c>
      <c r="AZ33" s="25" t="str">
        <f>IF(AND(A33&lt;&gt;"",B33&lt;&gt;"",C33&lt;&gt;"",D33&gt;0,E33&gt;0,N33&lt;&gt;"",AH33&gt;0,O33="Да",P33="Да",BZ33="ПОЛНО",ABS(AN33-1)&lt;='03_Настройки'!$B$5,IF(T33&gt;0,AND(U33&lt;&gt;"",V33&gt;0),TRUE()),IF(X33&gt;0,AND(Y33&lt;&gt;"",Z33&gt;0),TRUE()),IF(AB33&gt;0,AND(AC33&lt;&gt;"",AD33&gt;0),TRUE()),OR(BM33="",BM33="Активна")),"Да","Нет")</f>
        <v>Нет</v>
      </c>
      <c r="BA33" s="25" t="str">
        <f t="shared" si="12"/>
        <v>Нет</v>
      </c>
      <c r="BB33" s="25" t="str">
        <f t="shared" si="13"/>
        <v/>
      </c>
      <c r="BC33" s="25" t="str">
        <f t="shared" si="14"/>
        <v/>
      </c>
      <c r="BD33" s="25" t="str">
        <f t="shared" si="15"/>
        <v/>
      </c>
      <c r="BE33" s="25" t="str">
        <f>IF(A33="","",IF(BZ33&lt;&gt;"ПОЛНО","BLOCK: неполная форма",IF(O33&lt;&gt;"Да","BLOCK: ввоз не разрешён",IF(P33&lt;&gt;"Да","BLOCK: документы не подтверждены",IF(ABS(AN33-1)&gt;'03_Настройки'!$B$5,"BLOCK: платежи не 100%",IF(AND(BM33&lt;&gt;"",BM33&lt;&gt;"Активна"),"BLOCK: позиция "&amp;BM33,IF(BA33&lt;&gt;"Да","PARTIAL: не покрывает потребность",IF(BB33="ДА","самый дешёвый"&amp;IF(BC33="ДА"," + быстрый","")&amp;IF(BD33="ДА"," + optimal",""),IF(BC33="ДА","самый быстрый"&amp;IF(BD33="ДА"," + optimal",""),IF(BD33="ДА","optimal","Допущен"))))))))))</f>
        <v/>
      </c>
      <c r="BF33" s="25">
        <f>ROW()</f>
        <v>33</v>
      </c>
      <c r="BG33" s="33"/>
      <c r="BH33" s="33"/>
      <c r="BI33" s="33"/>
      <c r="BJ33" s="33"/>
      <c r="BK33" s="33"/>
      <c r="BL33" s="34"/>
      <c r="BM33" s="33"/>
      <c r="BN33" s="35" t="str">
        <f t="shared" si="16"/>
        <v/>
      </c>
      <c r="BO33" s="36" t="str">
        <f t="shared" si="17"/>
        <v/>
      </c>
      <c r="BP33" s="33"/>
      <c r="BQ33" s="38"/>
      <c r="BR33" s="13"/>
      <c r="BS33" s="13"/>
      <c r="BT33" s="13"/>
      <c r="BU33" s="13"/>
      <c r="BV33" s="13"/>
      <c r="BW33" s="13"/>
      <c r="BX33" s="39" t="str">
        <f t="shared" si="18"/>
        <v/>
      </c>
      <c r="BY33" s="47"/>
      <c r="BZ33" s="48" t="str">
        <f t="shared" si="19"/>
        <v/>
      </c>
      <c r="CA33" s="47"/>
      <c r="CB33" s="47"/>
      <c r="CC33" s="47"/>
    </row>
    <row r="34" spans="1:81" ht="14.25" x14ac:dyDescent="0.45">
      <c r="A34" s="10"/>
      <c r="B34" s="10"/>
      <c r="C34" s="10"/>
      <c r="D34" s="10"/>
      <c r="E34" s="10"/>
      <c r="F34" s="10"/>
      <c r="G34" s="10"/>
      <c r="H34" s="25" t="str">
        <f>IFERROR(VLOOKUP(C34,'01_Поставщики'!$A$4:$M$11,2,FALSE()),"")</f>
        <v/>
      </c>
      <c r="I34" s="10"/>
      <c r="J34" s="25" t="str">
        <f>IFERROR(VLOOKUP(C34,'01_Поставщики'!$A$4:$M$11,8,FALSE()),"")</f>
        <v/>
      </c>
      <c r="K34" s="25" t="str">
        <f>IFERROR(VLOOKUP(C34,'01_Поставщики'!$A$4:$M$11,4,FALSE()),"")</f>
        <v/>
      </c>
      <c r="L34" s="25" t="str">
        <f>IFERROR(VLOOKUP(C34,'01_Поставщики'!$A$4:$M$11,10,FALSE()),"")</f>
        <v/>
      </c>
      <c r="M34" s="26" t="str">
        <f>IF(OR(A34="",B34=""),"",IFERROR(SUMIFS('04_Потребность'!$B$4:$B$103,'04_Потребность'!$A$4:$A$103,A34,'04_Потребность'!$C$4:$C$103,B34),0))</f>
        <v/>
      </c>
      <c r="N34" s="11"/>
      <c r="O34" s="10"/>
      <c r="P34" s="10"/>
      <c r="Q34" s="27"/>
      <c r="R34" s="27"/>
      <c r="S34" s="8"/>
      <c r="T34" s="8">
        <f>IFERROR(INDEX('02_Схемы оплаты'!$C$4:$C$19,MATCH($C34&amp;"|"&amp;$G34,'02_Схемы оплаты'!$H$4:$H$19,0)),0)</f>
        <v>0</v>
      </c>
      <c r="U34" s="11"/>
      <c r="V34" s="28"/>
      <c r="W34" s="8"/>
      <c r="X34" s="8">
        <f>IFERROR(INDEX('02_Схемы оплаты'!$D$4:$D$19,MATCH($C34&amp;"|"&amp;$G34,'02_Схемы оплаты'!$H$4:$H$19,0)),0)</f>
        <v>0</v>
      </c>
      <c r="Y34" s="11"/>
      <c r="Z34" s="28"/>
      <c r="AA34" s="8"/>
      <c r="AB34" s="8">
        <f>IFERROR(INDEX('02_Схемы оплаты'!$E$4:$E$19,MATCH($C34&amp;"|"&amp;$G34,'02_Схемы оплаты'!$H$4:$H$19,0)),0)</f>
        <v>0</v>
      </c>
      <c r="AC34" s="11"/>
      <c r="AD34" s="28"/>
      <c r="AE34" s="8"/>
      <c r="AF34" s="10"/>
      <c r="AG34" s="10"/>
      <c r="AH34" s="25">
        <f>IFERROR(SUMIFS('04_Потребность'!$D$4:$D$103,'04_Потребность'!$A$4:$A$103,A34,'04_Потребность'!$C$4:$C$103,B34),0)</f>
        <v>0</v>
      </c>
      <c r="AI34" s="26" t="str">
        <f>IF(OR(A34="",B34=""),"",IFERROR(SUMIFS('04_Потребность'!$E$4:$E$103,'04_Потребность'!$A$4:$A$103,A34,'04_Потребность'!$C$4:$C$103,B34),0))</f>
        <v/>
      </c>
      <c r="AJ34" s="25" t="str">
        <f>IF(OR(A34="",B34=""),"",IFERROR(SUMIFS('04_Потребность'!$F$4:$F$103,'04_Потребность'!$A$4:$A$103,A34,'04_Потребность'!$C$4:$C$103,B34),0))</f>
        <v/>
      </c>
      <c r="AK34" s="29" t="str">
        <f>IF(OR(A34="",B34=""),"",IFERROR(SUMIFS('04_Потребность'!$G$4:$G$103,'04_Потребность'!$A$4:$A$103,A34,'04_Потребность'!$C$4:$C$103,B34),0))</f>
        <v/>
      </c>
      <c r="AL34" s="25" t="str">
        <f>IF('03_Настройки'!$B$7="Нет","Нет",IF(COUNTIFS('04_Потребность'!$A$4:$A$103,A34,'04_Потребность'!$C$4:$C$103,B34,'04_Потребность'!$H$4:$H$103,"Да")&gt;0,"Да","Нет"))</f>
        <v>Нет</v>
      </c>
      <c r="AM34" s="30">
        <f t="shared" si="0"/>
        <v>0</v>
      </c>
      <c r="AN34" s="30">
        <f t="shared" si="1"/>
        <v>0</v>
      </c>
      <c r="AO34" s="29">
        <f t="shared" si="2"/>
        <v>0</v>
      </c>
      <c r="AP34" s="29">
        <f t="shared" si="3"/>
        <v>0</v>
      </c>
      <c r="AQ34" s="29">
        <f t="shared" si="4"/>
        <v>0</v>
      </c>
      <c r="AR34" s="29">
        <f>IFERROR(E34*'03_Настройки'!$B$4/365*(IF(T34&gt;0,T34*V34*(1+W34)*MAX(0,N34-U34),0)+IF(X34&gt;0,X34*Z34*(1+AA34)*MAX(0,N34-Y34),0)+IF(AB34&gt;0,AB34*AD34*(1+AE34)*MAX(0,N34-AC34),0)),0)</f>
        <v>0</v>
      </c>
      <c r="AS34" s="29">
        <f t="shared" si="5"/>
        <v>0</v>
      </c>
      <c r="AT34" s="31">
        <f t="shared" si="6"/>
        <v>0</v>
      </c>
      <c r="AU34" s="31">
        <f t="shared" si="7"/>
        <v>0</v>
      </c>
      <c r="AV34" s="32">
        <f t="shared" si="8"/>
        <v>0</v>
      </c>
      <c r="AW34" s="29" t="e">
        <f t="shared" si="9"/>
        <v>#VALUE!</v>
      </c>
      <c r="AX34" s="29">
        <f t="shared" si="10"/>
        <v>0</v>
      </c>
      <c r="AY34" s="29" t="e">
        <f t="shared" si="11"/>
        <v>#VALUE!</v>
      </c>
      <c r="AZ34" s="25" t="str">
        <f>IF(AND(A34&lt;&gt;"",B34&lt;&gt;"",C34&lt;&gt;"",D34&gt;0,E34&gt;0,N34&lt;&gt;"",AH34&gt;0,O34="Да",P34="Да",BZ34="ПОЛНО",ABS(AN34-1)&lt;='03_Настройки'!$B$5,IF(T34&gt;0,AND(U34&lt;&gt;"",V34&gt;0),TRUE()),IF(X34&gt;0,AND(Y34&lt;&gt;"",Z34&gt;0),TRUE()),IF(AB34&gt;0,AND(AC34&lt;&gt;"",AD34&gt;0),TRUE()),OR(BM34="",BM34="Активна")),"Да","Нет")</f>
        <v>Нет</v>
      </c>
      <c r="BA34" s="25" t="str">
        <f t="shared" si="12"/>
        <v>Нет</v>
      </c>
      <c r="BB34" s="25" t="str">
        <f t="shared" si="13"/>
        <v/>
      </c>
      <c r="BC34" s="25" t="str">
        <f t="shared" si="14"/>
        <v/>
      </c>
      <c r="BD34" s="25" t="str">
        <f t="shared" si="15"/>
        <v/>
      </c>
      <c r="BE34" s="25" t="str">
        <f>IF(A34="","",IF(BZ34&lt;&gt;"ПОЛНО","BLOCK: неполная форма",IF(O34&lt;&gt;"Да","BLOCK: ввоз не разрешён",IF(P34&lt;&gt;"Да","BLOCK: документы не подтверждены",IF(ABS(AN34-1)&gt;'03_Настройки'!$B$5,"BLOCK: платежи не 100%",IF(AND(BM34&lt;&gt;"",BM34&lt;&gt;"Активна"),"BLOCK: позиция "&amp;BM34,IF(BA34&lt;&gt;"Да","PARTIAL: не покрывает потребность",IF(BB34="ДА","самый дешёвый"&amp;IF(BC34="ДА"," + быстрый","")&amp;IF(BD34="ДА"," + optimal",""),IF(BC34="ДА","самый быстрый"&amp;IF(BD34="ДА"," + optimal",""),IF(BD34="ДА","optimal","Допущен"))))))))))</f>
        <v/>
      </c>
      <c r="BF34" s="25">
        <f>ROW()</f>
        <v>34</v>
      </c>
      <c r="BG34" s="33"/>
      <c r="BH34" s="33"/>
      <c r="BI34" s="33"/>
      <c r="BJ34" s="33"/>
      <c r="BK34" s="33"/>
      <c r="BL34" s="34"/>
      <c r="BM34" s="33"/>
      <c r="BN34" s="35" t="str">
        <f t="shared" si="16"/>
        <v/>
      </c>
      <c r="BO34" s="36" t="str">
        <f t="shared" si="17"/>
        <v/>
      </c>
      <c r="BP34" s="33"/>
      <c r="BQ34" s="38"/>
      <c r="BR34" s="13"/>
      <c r="BS34" s="13"/>
      <c r="BT34" s="13"/>
      <c r="BU34" s="13"/>
      <c r="BV34" s="13"/>
      <c r="BW34" s="13"/>
      <c r="BX34" s="39" t="str">
        <f t="shared" si="18"/>
        <v/>
      </c>
      <c r="BY34" s="47"/>
      <c r="BZ34" s="48" t="str">
        <f t="shared" si="19"/>
        <v/>
      </c>
      <c r="CA34" s="47"/>
      <c r="CB34" s="47"/>
      <c r="CC34" s="47"/>
    </row>
    <row r="35" spans="1:81" ht="14.25" x14ac:dyDescent="0.45">
      <c r="A35" s="10"/>
      <c r="B35" s="10"/>
      <c r="C35" s="10"/>
      <c r="D35" s="10"/>
      <c r="E35" s="10"/>
      <c r="F35" s="10"/>
      <c r="G35" s="10"/>
      <c r="H35" s="25" t="str">
        <f>IFERROR(VLOOKUP(C35,'01_Поставщики'!$A$4:$M$11,2,FALSE()),"")</f>
        <v/>
      </c>
      <c r="I35" s="10"/>
      <c r="J35" s="25" t="str">
        <f>IFERROR(VLOOKUP(C35,'01_Поставщики'!$A$4:$M$11,8,FALSE()),"")</f>
        <v/>
      </c>
      <c r="K35" s="25" t="str">
        <f>IFERROR(VLOOKUP(C35,'01_Поставщики'!$A$4:$M$11,4,FALSE()),"")</f>
        <v/>
      </c>
      <c r="L35" s="25" t="str">
        <f>IFERROR(VLOOKUP(C35,'01_Поставщики'!$A$4:$M$11,10,FALSE()),"")</f>
        <v/>
      </c>
      <c r="M35" s="26" t="str">
        <f>IF(OR(A35="",B35=""),"",IFERROR(SUMIFS('04_Потребность'!$B$4:$B$103,'04_Потребность'!$A$4:$A$103,A35,'04_Потребность'!$C$4:$C$103,B35),0))</f>
        <v/>
      </c>
      <c r="N35" s="11"/>
      <c r="O35" s="10"/>
      <c r="P35" s="10"/>
      <c r="Q35" s="27"/>
      <c r="R35" s="27"/>
      <c r="S35" s="8"/>
      <c r="T35" s="8">
        <f>IFERROR(INDEX('02_Схемы оплаты'!$C$4:$C$19,MATCH($C35&amp;"|"&amp;$G35,'02_Схемы оплаты'!$H$4:$H$19,0)),0)</f>
        <v>0</v>
      </c>
      <c r="U35" s="11"/>
      <c r="V35" s="28"/>
      <c r="W35" s="8"/>
      <c r="X35" s="8">
        <f>IFERROR(INDEX('02_Схемы оплаты'!$D$4:$D$19,MATCH($C35&amp;"|"&amp;$G35,'02_Схемы оплаты'!$H$4:$H$19,0)),0)</f>
        <v>0</v>
      </c>
      <c r="Y35" s="11"/>
      <c r="Z35" s="28"/>
      <c r="AA35" s="8"/>
      <c r="AB35" s="8">
        <f>IFERROR(INDEX('02_Схемы оплаты'!$E$4:$E$19,MATCH($C35&amp;"|"&amp;$G35,'02_Схемы оплаты'!$H$4:$H$19,0)),0)</f>
        <v>0</v>
      </c>
      <c r="AC35" s="11"/>
      <c r="AD35" s="28"/>
      <c r="AE35" s="8"/>
      <c r="AF35" s="10"/>
      <c r="AG35" s="10"/>
      <c r="AH35" s="25">
        <f>IFERROR(SUMIFS('04_Потребность'!$D$4:$D$103,'04_Потребность'!$A$4:$A$103,A35,'04_Потребность'!$C$4:$C$103,B35),0)</f>
        <v>0</v>
      </c>
      <c r="AI35" s="26" t="str">
        <f>IF(OR(A35="",B35=""),"",IFERROR(SUMIFS('04_Потребность'!$E$4:$E$103,'04_Потребность'!$A$4:$A$103,A35,'04_Потребность'!$C$4:$C$103,B35),0))</f>
        <v/>
      </c>
      <c r="AJ35" s="25" t="str">
        <f>IF(OR(A35="",B35=""),"",IFERROR(SUMIFS('04_Потребность'!$F$4:$F$103,'04_Потребность'!$A$4:$A$103,A35,'04_Потребность'!$C$4:$C$103,B35),0))</f>
        <v/>
      </c>
      <c r="AK35" s="29" t="str">
        <f>IF(OR(A35="",B35=""),"",IFERROR(SUMIFS('04_Потребность'!$G$4:$G$103,'04_Потребность'!$A$4:$A$103,A35,'04_Потребность'!$C$4:$C$103,B35),0))</f>
        <v/>
      </c>
      <c r="AL35" s="25" t="str">
        <f>IF('03_Настройки'!$B$7="Нет","Нет",IF(COUNTIFS('04_Потребность'!$A$4:$A$103,A35,'04_Потребность'!$C$4:$C$103,B35,'04_Потребность'!$H$4:$H$103,"Да")&gt;0,"Да","Нет"))</f>
        <v>Нет</v>
      </c>
      <c r="AM35" s="30">
        <f t="shared" si="0"/>
        <v>0</v>
      </c>
      <c r="AN35" s="30">
        <f t="shared" si="1"/>
        <v>0</v>
      </c>
      <c r="AO35" s="29">
        <f t="shared" si="2"/>
        <v>0</v>
      </c>
      <c r="AP35" s="29">
        <f t="shared" si="3"/>
        <v>0</v>
      </c>
      <c r="AQ35" s="29">
        <f t="shared" si="4"/>
        <v>0</v>
      </c>
      <c r="AR35" s="29">
        <f>IFERROR(E35*'03_Настройки'!$B$4/365*(IF(T35&gt;0,T35*V35*(1+W35)*MAX(0,N35-U35),0)+IF(X35&gt;0,X35*Z35*(1+AA35)*MAX(0,N35-Y35),0)+IF(AB35&gt;0,AB35*AD35*(1+AE35)*MAX(0,N35-AC35),0)),0)</f>
        <v>0</v>
      </c>
      <c r="AS35" s="29">
        <f t="shared" si="5"/>
        <v>0</v>
      </c>
      <c r="AT35" s="31">
        <f t="shared" si="6"/>
        <v>0</v>
      </c>
      <c r="AU35" s="31">
        <f t="shared" si="7"/>
        <v>0</v>
      </c>
      <c r="AV35" s="32">
        <f t="shared" si="8"/>
        <v>0</v>
      </c>
      <c r="AW35" s="29" t="e">
        <f t="shared" si="9"/>
        <v>#VALUE!</v>
      </c>
      <c r="AX35" s="29">
        <f t="shared" si="10"/>
        <v>0</v>
      </c>
      <c r="AY35" s="29" t="e">
        <f t="shared" si="11"/>
        <v>#VALUE!</v>
      </c>
      <c r="AZ35" s="25" t="str">
        <f>IF(AND(A35&lt;&gt;"",B35&lt;&gt;"",C35&lt;&gt;"",D35&gt;0,E35&gt;0,N35&lt;&gt;"",AH35&gt;0,O35="Да",P35="Да",BZ35="ПОЛНО",ABS(AN35-1)&lt;='03_Настройки'!$B$5,IF(T35&gt;0,AND(U35&lt;&gt;"",V35&gt;0),TRUE()),IF(X35&gt;0,AND(Y35&lt;&gt;"",Z35&gt;0),TRUE()),IF(AB35&gt;0,AND(AC35&lt;&gt;"",AD35&gt;0),TRUE()),OR(BM35="",BM35="Активна")),"Да","Нет")</f>
        <v>Нет</v>
      </c>
      <c r="BA35" s="25" t="str">
        <f t="shared" si="12"/>
        <v>Нет</v>
      </c>
      <c r="BB35" s="25" t="str">
        <f t="shared" si="13"/>
        <v/>
      </c>
      <c r="BC35" s="25" t="str">
        <f t="shared" si="14"/>
        <v/>
      </c>
      <c r="BD35" s="25" t="str">
        <f t="shared" si="15"/>
        <v/>
      </c>
      <c r="BE35" s="25" t="str">
        <f>IF(A35="","",IF(BZ35&lt;&gt;"ПОЛНО","BLOCK: неполная форма",IF(O35&lt;&gt;"Да","BLOCK: ввоз не разрешён",IF(P35&lt;&gt;"Да","BLOCK: документы не подтверждены",IF(ABS(AN35-1)&gt;'03_Настройки'!$B$5,"BLOCK: платежи не 100%",IF(AND(BM35&lt;&gt;"",BM35&lt;&gt;"Активна"),"BLOCK: позиция "&amp;BM35,IF(BA35&lt;&gt;"Да","PARTIAL: не покрывает потребность",IF(BB35="ДА","самый дешёвый"&amp;IF(BC35="ДА"," + быстрый","")&amp;IF(BD35="ДА"," + optimal",""),IF(BC35="ДА","самый быстрый"&amp;IF(BD35="ДА"," + optimal",""),IF(BD35="ДА","optimal","Допущен"))))))))))</f>
        <v/>
      </c>
      <c r="BF35" s="25">
        <f>ROW()</f>
        <v>35</v>
      </c>
      <c r="BG35" s="33"/>
      <c r="BH35" s="33"/>
      <c r="BI35" s="33"/>
      <c r="BJ35" s="33"/>
      <c r="BK35" s="33"/>
      <c r="BL35" s="34"/>
      <c r="BM35" s="33"/>
      <c r="BN35" s="35" t="str">
        <f t="shared" si="16"/>
        <v/>
      </c>
      <c r="BO35" s="36" t="str">
        <f t="shared" si="17"/>
        <v/>
      </c>
      <c r="BP35" s="33"/>
      <c r="BQ35" s="38"/>
      <c r="BR35" s="13"/>
      <c r="BS35" s="13"/>
      <c r="BT35" s="13"/>
      <c r="BU35" s="13"/>
      <c r="BV35" s="13"/>
      <c r="BW35" s="13"/>
      <c r="BX35" s="39" t="str">
        <f t="shared" si="18"/>
        <v/>
      </c>
      <c r="BY35" s="47"/>
      <c r="BZ35" s="48" t="str">
        <f t="shared" si="19"/>
        <v/>
      </c>
      <c r="CA35" s="47"/>
      <c r="CB35" s="47"/>
      <c r="CC35" s="47"/>
    </row>
    <row r="36" spans="1:81" ht="14.25" x14ac:dyDescent="0.45">
      <c r="A36" s="10"/>
      <c r="B36" s="10"/>
      <c r="C36" s="10"/>
      <c r="D36" s="10"/>
      <c r="E36" s="10"/>
      <c r="F36" s="10"/>
      <c r="G36" s="10"/>
      <c r="H36" s="25" t="str">
        <f>IFERROR(VLOOKUP(C36,'01_Поставщики'!$A$4:$M$11,2,FALSE()),"")</f>
        <v/>
      </c>
      <c r="I36" s="10"/>
      <c r="J36" s="25" t="str">
        <f>IFERROR(VLOOKUP(C36,'01_Поставщики'!$A$4:$M$11,8,FALSE()),"")</f>
        <v/>
      </c>
      <c r="K36" s="25" t="str">
        <f>IFERROR(VLOOKUP(C36,'01_Поставщики'!$A$4:$M$11,4,FALSE()),"")</f>
        <v/>
      </c>
      <c r="L36" s="25" t="str">
        <f>IFERROR(VLOOKUP(C36,'01_Поставщики'!$A$4:$M$11,10,FALSE()),"")</f>
        <v/>
      </c>
      <c r="M36" s="26" t="str">
        <f>IF(OR(A36="",B36=""),"",IFERROR(SUMIFS('04_Потребность'!$B$4:$B$103,'04_Потребность'!$A$4:$A$103,A36,'04_Потребность'!$C$4:$C$103,B36),0))</f>
        <v/>
      </c>
      <c r="N36" s="11"/>
      <c r="O36" s="10"/>
      <c r="P36" s="10"/>
      <c r="Q36" s="27"/>
      <c r="R36" s="27"/>
      <c r="S36" s="8"/>
      <c r="T36" s="8">
        <f>IFERROR(INDEX('02_Схемы оплаты'!$C$4:$C$19,MATCH($C36&amp;"|"&amp;$G36,'02_Схемы оплаты'!$H$4:$H$19,0)),0)</f>
        <v>0</v>
      </c>
      <c r="U36" s="11"/>
      <c r="V36" s="28"/>
      <c r="W36" s="8"/>
      <c r="X36" s="8">
        <f>IFERROR(INDEX('02_Схемы оплаты'!$D$4:$D$19,MATCH($C36&amp;"|"&amp;$G36,'02_Схемы оплаты'!$H$4:$H$19,0)),0)</f>
        <v>0</v>
      </c>
      <c r="Y36" s="11"/>
      <c r="Z36" s="28"/>
      <c r="AA36" s="8"/>
      <c r="AB36" s="8">
        <f>IFERROR(INDEX('02_Схемы оплаты'!$E$4:$E$19,MATCH($C36&amp;"|"&amp;$G36,'02_Схемы оплаты'!$H$4:$H$19,0)),0)</f>
        <v>0</v>
      </c>
      <c r="AC36" s="11"/>
      <c r="AD36" s="28"/>
      <c r="AE36" s="8"/>
      <c r="AF36" s="10"/>
      <c r="AG36" s="10"/>
      <c r="AH36" s="25">
        <f>IFERROR(SUMIFS('04_Потребность'!$D$4:$D$103,'04_Потребность'!$A$4:$A$103,A36,'04_Потребность'!$C$4:$C$103,B36),0)</f>
        <v>0</v>
      </c>
      <c r="AI36" s="26" t="str">
        <f>IF(OR(A36="",B36=""),"",IFERROR(SUMIFS('04_Потребность'!$E$4:$E$103,'04_Потребность'!$A$4:$A$103,A36,'04_Потребность'!$C$4:$C$103,B36),0))</f>
        <v/>
      </c>
      <c r="AJ36" s="25" t="str">
        <f>IF(OR(A36="",B36=""),"",IFERROR(SUMIFS('04_Потребность'!$F$4:$F$103,'04_Потребность'!$A$4:$A$103,A36,'04_Потребность'!$C$4:$C$103,B36),0))</f>
        <v/>
      </c>
      <c r="AK36" s="29" t="str">
        <f>IF(OR(A36="",B36=""),"",IFERROR(SUMIFS('04_Потребность'!$G$4:$G$103,'04_Потребность'!$A$4:$A$103,A36,'04_Потребность'!$C$4:$C$103,B36),0))</f>
        <v/>
      </c>
      <c r="AL36" s="25" t="str">
        <f>IF('03_Настройки'!$B$7="Нет","Нет",IF(COUNTIFS('04_Потребность'!$A$4:$A$103,A36,'04_Потребность'!$C$4:$C$103,B36,'04_Потребность'!$H$4:$H$103,"Да")&gt;0,"Да","Нет"))</f>
        <v>Нет</v>
      </c>
      <c r="AM36" s="30">
        <f t="shared" ref="AM36:AM67" si="20">IFERROR(MIN(1,D36/AH36),0)</f>
        <v>0</v>
      </c>
      <c r="AN36" s="30">
        <f t="shared" ref="AN36:AN67" si="21">SUM(T36,X36,AB36)</f>
        <v>0</v>
      </c>
      <c r="AO36" s="29">
        <f t="shared" ref="AO36:AO67" si="22">IFERROR(E36*(T36*V36*(1+W36)+X36*Z36*(1+AA36)+AB36*AD36*(1+AE36)),0)</f>
        <v>0</v>
      </c>
      <c r="AP36" s="29">
        <f t="shared" ref="AP36:AP67" si="23">AO36*S36</f>
        <v>0</v>
      </c>
      <c r="AQ36" s="29">
        <f t="shared" ref="AQ36:AQ67" si="24">AO36+AP36+Q36+R36</f>
        <v>0</v>
      </c>
      <c r="AR36" s="29">
        <f>IFERROR(E36*'03_Настройки'!$B$4/365*(IF(T36&gt;0,T36*V36*(1+W36)*MAX(0,N36-U36),0)+IF(X36&gt;0,X36*Z36*(1+AA36)*MAX(0,N36-Y36),0)+IF(AB36&gt;0,AB36*AD36*(1+AE36)*MAX(0,N36-AC36),0)),0)</f>
        <v>0</v>
      </c>
      <c r="AS36" s="29">
        <f t="shared" ref="AS36:AS67" si="25">AQ36+AR36</f>
        <v>0</v>
      </c>
      <c r="AT36" s="31">
        <f t="shared" ref="AT36:AT67" si="26">IFERROR(MAX(0,N36-M36),0)</f>
        <v>0</v>
      </c>
      <c r="AU36" s="31">
        <f t="shared" ref="AU36:AU67" si="27">IFERROR(MAX(0,N36-AI36),0)</f>
        <v>0</v>
      </c>
      <c r="AV36" s="32">
        <f t="shared" ref="AV36:AV67" si="28">IF(AL36="Да",MIN(AH36,AJ36*AU36),0)</f>
        <v>0</v>
      </c>
      <c r="AW36" s="29" t="e">
        <f t="shared" ref="AW36:AW67" si="29">AV36*AK36</f>
        <v>#VALUE!</v>
      </c>
      <c r="AX36" s="29">
        <f t="shared" ref="AX36:AX67" si="30">AS36*AH36</f>
        <v>0</v>
      </c>
      <c r="AY36" s="29" t="e">
        <f t="shared" ref="AY36:AY67" si="31">AX36+AW36</f>
        <v>#VALUE!</v>
      </c>
      <c r="AZ36" s="25" t="str">
        <f>IF(AND(A36&lt;&gt;"",B36&lt;&gt;"",C36&lt;&gt;"",D36&gt;0,E36&gt;0,N36&lt;&gt;"",AH36&gt;0,O36="Да",P36="Да",BZ36="ПОЛНО",ABS(AN36-1)&lt;='03_Настройки'!$B$5,IF(T36&gt;0,AND(U36&lt;&gt;"",V36&gt;0),TRUE()),IF(X36&gt;0,AND(Y36&lt;&gt;"",Z36&gt;0),TRUE()),IF(AB36&gt;0,AND(AC36&lt;&gt;"",AD36&gt;0),TRUE()),OR(BM36="",BM36="Активна")),"Да","Нет")</f>
        <v>Нет</v>
      </c>
      <c r="BA36" s="25" t="str">
        <f t="shared" ref="BA36:BA67" si="32">IF(AM36&gt;=1,"Да","Нет")</f>
        <v>Нет</v>
      </c>
      <c r="BB36" s="25" t="str">
        <f t="shared" ref="BB36:BB67" si="33">IF(AND(AZ36="Да",BA36="Да",COUNTIFS($A$4:$A$203,A36,$B$4:$B$203,B36,$AZ$4:$AZ$203,"Да",$BA$4:$BA$203,"Да",$AX$4:$AX$203,"&lt;"&amp;AX36)=0,COUNTIFS($A$4:$A$203,A36,$B$4:$B$203,B36,$AZ$4:$AZ$203,"Да",$BA$4:$BA$203,"Да",$AX$4:$AX$203,"="&amp;AX36,$BF$4:$BF$203,"&lt;"&amp;BF36)=0),"ДА","")</f>
        <v/>
      </c>
      <c r="BC36" s="25" t="str">
        <f t="shared" ref="BC36:BC67" si="34">IF(AND(AZ36="Да",BA36="Да",COUNTIFS($A$4:$A$203,A36,$B$4:$B$203,B36,$AZ$4:$AZ$203,"Да",$BA$4:$BA$203,"Да",$N$4:$N$203,"&lt;"&amp;N36)=0,COUNTIFS($A$4:$A$203,A36,$B$4:$B$203,B36,$AZ$4:$AZ$203,"Да",$BA$4:$BA$203,"Да",$N$4:$N$203,"="&amp;N36,$BF$4:$BF$203,"&lt;"&amp;BF36)=0),"ДА","")</f>
        <v/>
      </c>
      <c r="BD36" s="25" t="str">
        <f t="shared" ref="BD36:BD67" si="35">IF(AND(AZ36="Да",BA36="Да",COUNTIFS($A$4:$A$203,A36,$B$4:$B$203,B36,$AZ$4:$AZ$203,"Да",$BA$4:$BA$203,"Да",$AY$4:$AY$203,"&lt;"&amp;AY36)=0,COUNTIFS($A$4:$A$203,A36,$B$4:$B$203,B36,$AZ$4:$AZ$203,"Да",$BA$4:$BA$203,"Да",$AY$4:$AY$203,"="&amp;AY36,$BF$4:$BF$203,"&lt;"&amp;BF36)=0),"ДА","")</f>
        <v/>
      </c>
      <c r="BE36" s="25" t="str">
        <f>IF(A36="","",IF(BZ36&lt;&gt;"ПОЛНО","BLOCK: неполная форма",IF(O36&lt;&gt;"Да","BLOCK: ввоз не разрешён",IF(P36&lt;&gt;"Да","BLOCK: документы не подтверждены",IF(ABS(AN36-1)&gt;'03_Настройки'!$B$5,"BLOCK: платежи не 100%",IF(AND(BM36&lt;&gt;"",BM36&lt;&gt;"Активна"),"BLOCK: позиция "&amp;BM36,IF(BA36&lt;&gt;"Да","PARTIAL: не покрывает потребность",IF(BB36="ДА","самый дешёвый"&amp;IF(BC36="ДА"," + быстрый","")&amp;IF(BD36="ДА"," + optimal",""),IF(BC36="ДА","самый быстрый"&amp;IF(BD36="ДА"," + optimal",""),IF(BD36="ДА","optimal","Допущен"))))))))))</f>
        <v/>
      </c>
      <c r="BF36" s="25">
        <f>ROW()</f>
        <v>36</v>
      </c>
      <c r="BG36" s="33"/>
      <c r="BH36" s="33"/>
      <c r="BI36" s="33"/>
      <c r="BJ36" s="33"/>
      <c r="BK36" s="33"/>
      <c r="BL36" s="34"/>
      <c r="BM36" s="33"/>
      <c r="BN36" s="35" t="str">
        <f t="shared" ref="BN36:BN67" si="36">IF(BG36+BH36=0,"",IF(BG36+BH36&lt;&gt;D36,"⚠ SIM+eSIM≠Доступно","OK"))</f>
        <v/>
      </c>
      <c r="BO36" s="36" t="str">
        <f t="shared" ref="BO36:BO67" si="37">IF($C36="","",IF(TRIM(IF(O36&lt;&gt;"Да","⚠Ввоз ","")&amp;IF(P36&lt;&gt;"Да","⚠Документы ","")&amp;IF(AND(BG36+BH36&gt;0,D36&gt;0,BG36+BH36&lt;&gt;D36),"⚠SIM/eSIM ","")&amp;IF(BZ36&lt;&gt;"ПОЛНО","⚠НеполнаяФорма ",""))="","OK",TRIM(IF(O36&lt;&gt;"Да","⚠Ввоз ","")&amp;IF(P36&lt;&gt;"Да","⚠Документы ","")&amp;IF(AND(BG36+BH36&gt;0,D36&gt;0,BG36+BH36&lt;&gt;D36),"⚠SIM/eSIM ","")&amp;IF(BZ36&lt;&gt;"ПОЛНО","⚠НеполнаяФорма ",""))))</f>
        <v/>
      </c>
      <c r="BP36" s="33"/>
      <c r="BQ36" s="38"/>
      <c r="BR36" s="13"/>
      <c r="BS36" s="13"/>
      <c r="BT36" s="13"/>
      <c r="BU36" s="13"/>
      <c r="BV36" s="13"/>
      <c r="BW36" s="13"/>
      <c r="BX36" s="39" t="str">
        <f t="shared" ref="BX36:BX67" si="38">IF(OR(BV36&lt;&gt;"",BW36&lt;&gt;""),"Да","")</f>
        <v/>
      </c>
      <c r="BY36" s="47"/>
      <c r="BZ36" s="48" t="str">
        <f t="shared" ref="BZ36:BZ67" si="39">IF(A36="","",IF(AND(BT36&lt;&gt;"",BJ36&lt;&gt;"",CA36&lt;&gt;"",BK36&lt;&gt;"",OR(BG36&lt;&gt;"",BH36&lt;&gt;""),BM36&lt;&gt;""),"ПОЛНО","НЕПОЛНО"))</f>
        <v/>
      </c>
      <c r="CA36" s="47"/>
      <c r="CB36" s="47"/>
      <c r="CC36" s="47"/>
    </row>
    <row r="37" spans="1:81" ht="14.25" x14ac:dyDescent="0.45">
      <c r="A37" s="10"/>
      <c r="B37" s="10"/>
      <c r="C37" s="10"/>
      <c r="D37" s="10"/>
      <c r="E37" s="10"/>
      <c r="F37" s="10"/>
      <c r="G37" s="10"/>
      <c r="H37" s="25" t="str">
        <f>IFERROR(VLOOKUP(C37,'01_Поставщики'!$A$4:$M$11,2,FALSE()),"")</f>
        <v/>
      </c>
      <c r="I37" s="10"/>
      <c r="J37" s="25" t="str">
        <f>IFERROR(VLOOKUP(C37,'01_Поставщики'!$A$4:$M$11,8,FALSE()),"")</f>
        <v/>
      </c>
      <c r="K37" s="25" t="str">
        <f>IFERROR(VLOOKUP(C37,'01_Поставщики'!$A$4:$M$11,4,FALSE()),"")</f>
        <v/>
      </c>
      <c r="L37" s="25" t="str">
        <f>IFERROR(VLOOKUP(C37,'01_Поставщики'!$A$4:$M$11,10,FALSE()),"")</f>
        <v/>
      </c>
      <c r="M37" s="26" t="str">
        <f>IF(OR(A37="",B37=""),"",IFERROR(SUMIFS('04_Потребность'!$B$4:$B$103,'04_Потребность'!$A$4:$A$103,A37,'04_Потребность'!$C$4:$C$103,B37),0))</f>
        <v/>
      </c>
      <c r="N37" s="11"/>
      <c r="O37" s="10"/>
      <c r="P37" s="10"/>
      <c r="Q37" s="27"/>
      <c r="R37" s="27"/>
      <c r="S37" s="8"/>
      <c r="T37" s="8">
        <f>IFERROR(INDEX('02_Схемы оплаты'!$C$4:$C$19,MATCH($C37&amp;"|"&amp;$G37,'02_Схемы оплаты'!$H$4:$H$19,0)),0)</f>
        <v>0</v>
      </c>
      <c r="U37" s="11"/>
      <c r="V37" s="28"/>
      <c r="W37" s="8"/>
      <c r="X37" s="8">
        <f>IFERROR(INDEX('02_Схемы оплаты'!$D$4:$D$19,MATCH($C37&amp;"|"&amp;$G37,'02_Схемы оплаты'!$H$4:$H$19,0)),0)</f>
        <v>0</v>
      </c>
      <c r="Y37" s="11"/>
      <c r="Z37" s="28"/>
      <c r="AA37" s="8"/>
      <c r="AB37" s="8">
        <f>IFERROR(INDEX('02_Схемы оплаты'!$E$4:$E$19,MATCH($C37&amp;"|"&amp;$G37,'02_Схемы оплаты'!$H$4:$H$19,0)),0)</f>
        <v>0</v>
      </c>
      <c r="AC37" s="11"/>
      <c r="AD37" s="28"/>
      <c r="AE37" s="8"/>
      <c r="AF37" s="10"/>
      <c r="AG37" s="10"/>
      <c r="AH37" s="25">
        <f>IFERROR(SUMIFS('04_Потребность'!$D$4:$D$103,'04_Потребность'!$A$4:$A$103,A37,'04_Потребность'!$C$4:$C$103,B37),0)</f>
        <v>0</v>
      </c>
      <c r="AI37" s="26" t="str">
        <f>IF(OR(A37="",B37=""),"",IFERROR(SUMIFS('04_Потребность'!$E$4:$E$103,'04_Потребность'!$A$4:$A$103,A37,'04_Потребность'!$C$4:$C$103,B37),0))</f>
        <v/>
      </c>
      <c r="AJ37" s="25" t="str">
        <f>IF(OR(A37="",B37=""),"",IFERROR(SUMIFS('04_Потребность'!$F$4:$F$103,'04_Потребность'!$A$4:$A$103,A37,'04_Потребность'!$C$4:$C$103,B37),0))</f>
        <v/>
      </c>
      <c r="AK37" s="29" t="str">
        <f>IF(OR(A37="",B37=""),"",IFERROR(SUMIFS('04_Потребность'!$G$4:$G$103,'04_Потребность'!$A$4:$A$103,A37,'04_Потребность'!$C$4:$C$103,B37),0))</f>
        <v/>
      </c>
      <c r="AL37" s="25" t="str">
        <f>IF('03_Настройки'!$B$7="Нет","Нет",IF(COUNTIFS('04_Потребность'!$A$4:$A$103,A37,'04_Потребность'!$C$4:$C$103,B37,'04_Потребность'!$H$4:$H$103,"Да")&gt;0,"Да","Нет"))</f>
        <v>Нет</v>
      </c>
      <c r="AM37" s="30">
        <f t="shared" si="20"/>
        <v>0</v>
      </c>
      <c r="AN37" s="30">
        <f t="shared" si="21"/>
        <v>0</v>
      </c>
      <c r="AO37" s="29">
        <f t="shared" si="22"/>
        <v>0</v>
      </c>
      <c r="AP37" s="29">
        <f t="shared" si="23"/>
        <v>0</v>
      </c>
      <c r="AQ37" s="29">
        <f t="shared" si="24"/>
        <v>0</v>
      </c>
      <c r="AR37" s="29">
        <f>IFERROR(E37*'03_Настройки'!$B$4/365*(IF(T37&gt;0,T37*V37*(1+W37)*MAX(0,N37-U37),0)+IF(X37&gt;0,X37*Z37*(1+AA37)*MAX(0,N37-Y37),0)+IF(AB37&gt;0,AB37*AD37*(1+AE37)*MAX(0,N37-AC37),0)),0)</f>
        <v>0</v>
      </c>
      <c r="AS37" s="29">
        <f t="shared" si="25"/>
        <v>0</v>
      </c>
      <c r="AT37" s="31">
        <f t="shared" si="26"/>
        <v>0</v>
      </c>
      <c r="AU37" s="31">
        <f t="shared" si="27"/>
        <v>0</v>
      </c>
      <c r="AV37" s="32">
        <f t="shared" si="28"/>
        <v>0</v>
      </c>
      <c r="AW37" s="29" t="e">
        <f t="shared" si="29"/>
        <v>#VALUE!</v>
      </c>
      <c r="AX37" s="29">
        <f t="shared" si="30"/>
        <v>0</v>
      </c>
      <c r="AY37" s="29" t="e">
        <f t="shared" si="31"/>
        <v>#VALUE!</v>
      </c>
      <c r="AZ37" s="25" t="str">
        <f>IF(AND(A37&lt;&gt;"",B37&lt;&gt;"",C37&lt;&gt;"",D37&gt;0,E37&gt;0,N37&lt;&gt;"",AH37&gt;0,O37="Да",P37="Да",BZ37="ПОЛНО",ABS(AN37-1)&lt;='03_Настройки'!$B$5,IF(T37&gt;0,AND(U37&lt;&gt;"",V37&gt;0),TRUE()),IF(X37&gt;0,AND(Y37&lt;&gt;"",Z37&gt;0),TRUE()),IF(AB37&gt;0,AND(AC37&lt;&gt;"",AD37&gt;0),TRUE()),OR(BM37="",BM37="Активна")),"Да","Нет")</f>
        <v>Нет</v>
      </c>
      <c r="BA37" s="25" t="str">
        <f t="shared" si="32"/>
        <v>Нет</v>
      </c>
      <c r="BB37" s="25" t="str">
        <f t="shared" si="33"/>
        <v/>
      </c>
      <c r="BC37" s="25" t="str">
        <f t="shared" si="34"/>
        <v/>
      </c>
      <c r="BD37" s="25" t="str">
        <f t="shared" si="35"/>
        <v/>
      </c>
      <c r="BE37" s="25" t="str">
        <f>IF(A37="","",IF(BZ37&lt;&gt;"ПОЛНО","BLOCK: неполная форма",IF(O37&lt;&gt;"Да","BLOCK: ввоз не разрешён",IF(P37&lt;&gt;"Да","BLOCK: документы не подтверждены",IF(ABS(AN37-1)&gt;'03_Настройки'!$B$5,"BLOCK: платежи не 100%",IF(AND(BM37&lt;&gt;"",BM37&lt;&gt;"Активна"),"BLOCK: позиция "&amp;BM37,IF(BA37&lt;&gt;"Да","PARTIAL: не покрывает потребность",IF(BB37="ДА","самый дешёвый"&amp;IF(BC37="ДА"," + быстрый","")&amp;IF(BD37="ДА"," + optimal",""),IF(BC37="ДА","самый быстрый"&amp;IF(BD37="ДА"," + optimal",""),IF(BD37="ДА","optimal","Допущен"))))))))))</f>
        <v/>
      </c>
      <c r="BF37" s="25">
        <f>ROW()</f>
        <v>37</v>
      </c>
      <c r="BG37" s="33"/>
      <c r="BH37" s="33"/>
      <c r="BI37" s="33"/>
      <c r="BJ37" s="33"/>
      <c r="BK37" s="33"/>
      <c r="BL37" s="34"/>
      <c r="BM37" s="33"/>
      <c r="BN37" s="35" t="str">
        <f t="shared" si="36"/>
        <v/>
      </c>
      <c r="BO37" s="36" t="str">
        <f t="shared" si="37"/>
        <v/>
      </c>
      <c r="BP37" s="33"/>
      <c r="BQ37" s="38"/>
      <c r="BR37" s="13"/>
      <c r="BS37" s="13"/>
      <c r="BT37" s="13"/>
      <c r="BU37" s="13"/>
      <c r="BV37" s="13"/>
      <c r="BW37" s="13"/>
      <c r="BX37" s="39" t="str">
        <f t="shared" si="38"/>
        <v/>
      </c>
      <c r="BY37" s="47"/>
      <c r="BZ37" s="48" t="str">
        <f t="shared" si="39"/>
        <v/>
      </c>
      <c r="CA37" s="47"/>
      <c r="CB37" s="47"/>
      <c r="CC37" s="47"/>
    </row>
    <row r="38" spans="1:81" ht="14.25" x14ac:dyDescent="0.45">
      <c r="A38" s="10"/>
      <c r="B38" s="10"/>
      <c r="C38" s="10"/>
      <c r="D38" s="10"/>
      <c r="E38" s="10"/>
      <c r="F38" s="10"/>
      <c r="G38" s="10"/>
      <c r="H38" s="25" t="str">
        <f>IFERROR(VLOOKUP(C38,'01_Поставщики'!$A$4:$M$11,2,FALSE()),"")</f>
        <v/>
      </c>
      <c r="I38" s="10"/>
      <c r="J38" s="25" t="str">
        <f>IFERROR(VLOOKUP(C38,'01_Поставщики'!$A$4:$M$11,8,FALSE()),"")</f>
        <v/>
      </c>
      <c r="K38" s="25" t="str">
        <f>IFERROR(VLOOKUP(C38,'01_Поставщики'!$A$4:$M$11,4,FALSE()),"")</f>
        <v/>
      </c>
      <c r="L38" s="25" t="str">
        <f>IFERROR(VLOOKUP(C38,'01_Поставщики'!$A$4:$M$11,10,FALSE()),"")</f>
        <v/>
      </c>
      <c r="M38" s="26" t="str">
        <f>IF(OR(A38="",B38=""),"",IFERROR(SUMIFS('04_Потребность'!$B$4:$B$103,'04_Потребность'!$A$4:$A$103,A38,'04_Потребность'!$C$4:$C$103,B38),0))</f>
        <v/>
      </c>
      <c r="N38" s="11"/>
      <c r="O38" s="10"/>
      <c r="P38" s="10"/>
      <c r="Q38" s="27"/>
      <c r="R38" s="27"/>
      <c r="S38" s="8"/>
      <c r="T38" s="8">
        <f>IFERROR(INDEX('02_Схемы оплаты'!$C$4:$C$19,MATCH($C38&amp;"|"&amp;$G38,'02_Схемы оплаты'!$H$4:$H$19,0)),0)</f>
        <v>0</v>
      </c>
      <c r="U38" s="11"/>
      <c r="V38" s="28"/>
      <c r="W38" s="8"/>
      <c r="X38" s="8">
        <f>IFERROR(INDEX('02_Схемы оплаты'!$D$4:$D$19,MATCH($C38&amp;"|"&amp;$G38,'02_Схемы оплаты'!$H$4:$H$19,0)),0)</f>
        <v>0</v>
      </c>
      <c r="Y38" s="11"/>
      <c r="Z38" s="28"/>
      <c r="AA38" s="8"/>
      <c r="AB38" s="8">
        <f>IFERROR(INDEX('02_Схемы оплаты'!$E$4:$E$19,MATCH($C38&amp;"|"&amp;$G38,'02_Схемы оплаты'!$H$4:$H$19,0)),0)</f>
        <v>0</v>
      </c>
      <c r="AC38" s="11"/>
      <c r="AD38" s="28"/>
      <c r="AE38" s="8"/>
      <c r="AF38" s="10"/>
      <c r="AG38" s="10"/>
      <c r="AH38" s="25">
        <f>IFERROR(SUMIFS('04_Потребность'!$D$4:$D$103,'04_Потребность'!$A$4:$A$103,A38,'04_Потребность'!$C$4:$C$103,B38),0)</f>
        <v>0</v>
      </c>
      <c r="AI38" s="26" t="str">
        <f>IF(OR(A38="",B38=""),"",IFERROR(SUMIFS('04_Потребность'!$E$4:$E$103,'04_Потребность'!$A$4:$A$103,A38,'04_Потребность'!$C$4:$C$103,B38),0))</f>
        <v/>
      </c>
      <c r="AJ38" s="25" t="str">
        <f>IF(OR(A38="",B38=""),"",IFERROR(SUMIFS('04_Потребность'!$F$4:$F$103,'04_Потребность'!$A$4:$A$103,A38,'04_Потребность'!$C$4:$C$103,B38),0))</f>
        <v/>
      </c>
      <c r="AK38" s="29" t="str">
        <f>IF(OR(A38="",B38=""),"",IFERROR(SUMIFS('04_Потребность'!$G$4:$G$103,'04_Потребность'!$A$4:$A$103,A38,'04_Потребность'!$C$4:$C$103,B38),0))</f>
        <v/>
      </c>
      <c r="AL38" s="25" t="str">
        <f>IF('03_Настройки'!$B$7="Нет","Нет",IF(COUNTIFS('04_Потребность'!$A$4:$A$103,A38,'04_Потребность'!$C$4:$C$103,B38,'04_Потребность'!$H$4:$H$103,"Да")&gt;0,"Да","Нет"))</f>
        <v>Нет</v>
      </c>
      <c r="AM38" s="30">
        <f t="shared" si="20"/>
        <v>0</v>
      </c>
      <c r="AN38" s="30">
        <f t="shared" si="21"/>
        <v>0</v>
      </c>
      <c r="AO38" s="29">
        <f t="shared" si="22"/>
        <v>0</v>
      </c>
      <c r="AP38" s="29">
        <f t="shared" si="23"/>
        <v>0</v>
      </c>
      <c r="AQ38" s="29">
        <f t="shared" si="24"/>
        <v>0</v>
      </c>
      <c r="AR38" s="29">
        <f>IFERROR(E38*'03_Настройки'!$B$4/365*(IF(T38&gt;0,T38*V38*(1+W38)*MAX(0,N38-U38),0)+IF(X38&gt;0,X38*Z38*(1+AA38)*MAX(0,N38-Y38),0)+IF(AB38&gt;0,AB38*AD38*(1+AE38)*MAX(0,N38-AC38),0)),0)</f>
        <v>0</v>
      </c>
      <c r="AS38" s="29">
        <f t="shared" si="25"/>
        <v>0</v>
      </c>
      <c r="AT38" s="31">
        <f t="shared" si="26"/>
        <v>0</v>
      </c>
      <c r="AU38" s="31">
        <f t="shared" si="27"/>
        <v>0</v>
      </c>
      <c r="AV38" s="32">
        <f t="shared" si="28"/>
        <v>0</v>
      </c>
      <c r="AW38" s="29" t="e">
        <f t="shared" si="29"/>
        <v>#VALUE!</v>
      </c>
      <c r="AX38" s="29">
        <f t="shared" si="30"/>
        <v>0</v>
      </c>
      <c r="AY38" s="29" t="e">
        <f t="shared" si="31"/>
        <v>#VALUE!</v>
      </c>
      <c r="AZ38" s="25" t="str">
        <f>IF(AND(A38&lt;&gt;"",B38&lt;&gt;"",C38&lt;&gt;"",D38&gt;0,E38&gt;0,N38&lt;&gt;"",AH38&gt;0,O38="Да",P38="Да",BZ38="ПОЛНО",ABS(AN38-1)&lt;='03_Настройки'!$B$5,IF(T38&gt;0,AND(U38&lt;&gt;"",V38&gt;0),TRUE()),IF(X38&gt;0,AND(Y38&lt;&gt;"",Z38&gt;0),TRUE()),IF(AB38&gt;0,AND(AC38&lt;&gt;"",AD38&gt;0),TRUE()),OR(BM38="",BM38="Активна")),"Да","Нет")</f>
        <v>Нет</v>
      </c>
      <c r="BA38" s="25" t="str">
        <f t="shared" si="32"/>
        <v>Нет</v>
      </c>
      <c r="BB38" s="25" t="str">
        <f t="shared" si="33"/>
        <v/>
      </c>
      <c r="BC38" s="25" t="str">
        <f t="shared" si="34"/>
        <v/>
      </c>
      <c r="BD38" s="25" t="str">
        <f t="shared" si="35"/>
        <v/>
      </c>
      <c r="BE38" s="25" t="str">
        <f>IF(A38="","",IF(BZ38&lt;&gt;"ПОЛНО","BLOCK: неполная форма",IF(O38&lt;&gt;"Да","BLOCK: ввоз не разрешён",IF(P38&lt;&gt;"Да","BLOCK: документы не подтверждены",IF(ABS(AN38-1)&gt;'03_Настройки'!$B$5,"BLOCK: платежи не 100%",IF(AND(BM38&lt;&gt;"",BM38&lt;&gt;"Активна"),"BLOCK: позиция "&amp;BM38,IF(BA38&lt;&gt;"Да","PARTIAL: не покрывает потребность",IF(BB38="ДА","самый дешёвый"&amp;IF(BC38="ДА"," + быстрый","")&amp;IF(BD38="ДА"," + optimal",""),IF(BC38="ДА","самый быстрый"&amp;IF(BD38="ДА"," + optimal",""),IF(BD38="ДА","optimal","Допущен"))))))))))</f>
        <v/>
      </c>
      <c r="BF38" s="25">
        <f>ROW()</f>
        <v>38</v>
      </c>
      <c r="BG38" s="33"/>
      <c r="BH38" s="33"/>
      <c r="BI38" s="33"/>
      <c r="BJ38" s="33"/>
      <c r="BK38" s="33"/>
      <c r="BL38" s="34"/>
      <c r="BM38" s="33"/>
      <c r="BN38" s="35" t="str">
        <f t="shared" si="36"/>
        <v/>
      </c>
      <c r="BO38" s="36" t="str">
        <f t="shared" si="37"/>
        <v/>
      </c>
      <c r="BP38" s="33"/>
      <c r="BQ38" s="38"/>
      <c r="BR38" s="13"/>
      <c r="BS38" s="13"/>
      <c r="BT38" s="13"/>
      <c r="BU38" s="13"/>
      <c r="BV38" s="13"/>
      <c r="BW38" s="13"/>
      <c r="BX38" s="39" t="str">
        <f t="shared" si="38"/>
        <v/>
      </c>
      <c r="BY38" s="47"/>
      <c r="BZ38" s="48" t="str">
        <f t="shared" si="39"/>
        <v/>
      </c>
      <c r="CA38" s="47"/>
      <c r="CB38" s="47"/>
      <c r="CC38" s="47"/>
    </row>
    <row r="39" spans="1:81" ht="14.25" x14ac:dyDescent="0.45">
      <c r="A39" s="10"/>
      <c r="B39" s="10"/>
      <c r="C39" s="10"/>
      <c r="D39" s="10"/>
      <c r="E39" s="10"/>
      <c r="F39" s="10"/>
      <c r="G39" s="10"/>
      <c r="H39" s="25" t="str">
        <f>IFERROR(VLOOKUP(C39,'01_Поставщики'!$A$4:$M$11,2,FALSE()),"")</f>
        <v/>
      </c>
      <c r="I39" s="10"/>
      <c r="J39" s="25" t="str">
        <f>IFERROR(VLOOKUP(C39,'01_Поставщики'!$A$4:$M$11,8,FALSE()),"")</f>
        <v/>
      </c>
      <c r="K39" s="25" t="str">
        <f>IFERROR(VLOOKUP(C39,'01_Поставщики'!$A$4:$M$11,4,FALSE()),"")</f>
        <v/>
      </c>
      <c r="L39" s="25" t="str">
        <f>IFERROR(VLOOKUP(C39,'01_Поставщики'!$A$4:$M$11,10,FALSE()),"")</f>
        <v/>
      </c>
      <c r="M39" s="26" t="str">
        <f>IF(OR(A39="",B39=""),"",IFERROR(SUMIFS('04_Потребность'!$B$4:$B$103,'04_Потребность'!$A$4:$A$103,A39,'04_Потребность'!$C$4:$C$103,B39),0))</f>
        <v/>
      </c>
      <c r="N39" s="11"/>
      <c r="O39" s="10"/>
      <c r="P39" s="10"/>
      <c r="Q39" s="27"/>
      <c r="R39" s="27"/>
      <c r="S39" s="8"/>
      <c r="T39" s="8">
        <f>IFERROR(INDEX('02_Схемы оплаты'!$C$4:$C$19,MATCH($C39&amp;"|"&amp;$G39,'02_Схемы оплаты'!$H$4:$H$19,0)),0)</f>
        <v>0</v>
      </c>
      <c r="U39" s="11"/>
      <c r="V39" s="28"/>
      <c r="W39" s="8"/>
      <c r="X39" s="8">
        <f>IFERROR(INDEX('02_Схемы оплаты'!$D$4:$D$19,MATCH($C39&amp;"|"&amp;$G39,'02_Схемы оплаты'!$H$4:$H$19,0)),0)</f>
        <v>0</v>
      </c>
      <c r="Y39" s="11"/>
      <c r="Z39" s="28"/>
      <c r="AA39" s="8"/>
      <c r="AB39" s="8">
        <f>IFERROR(INDEX('02_Схемы оплаты'!$E$4:$E$19,MATCH($C39&amp;"|"&amp;$G39,'02_Схемы оплаты'!$H$4:$H$19,0)),0)</f>
        <v>0</v>
      </c>
      <c r="AC39" s="11"/>
      <c r="AD39" s="28"/>
      <c r="AE39" s="8"/>
      <c r="AF39" s="10"/>
      <c r="AG39" s="10"/>
      <c r="AH39" s="25">
        <f>IFERROR(SUMIFS('04_Потребность'!$D$4:$D$103,'04_Потребность'!$A$4:$A$103,A39,'04_Потребность'!$C$4:$C$103,B39),0)</f>
        <v>0</v>
      </c>
      <c r="AI39" s="26" t="str">
        <f>IF(OR(A39="",B39=""),"",IFERROR(SUMIFS('04_Потребность'!$E$4:$E$103,'04_Потребность'!$A$4:$A$103,A39,'04_Потребность'!$C$4:$C$103,B39),0))</f>
        <v/>
      </c>
      <c r="AJ39" s="25" t="str">
        <f>IF(OR(A39="",B39=""),"",IFERROR(SUMIFS('04_Потребность'!$F$4:$F$103,'04_Потребность'!$A$4:$A$103,A39,'04_Потребность'!$C$4:$C$103,B39),0))</f>
        <v/>
      </c>
      <c r="AK39" s="29" t="str">
        <f>IF(OR(A39="",B39=""),"",IFERROR(SUMIFS('04_Потребность'!$G$4:$G$103,'04_Потребность'!$A$4:$A$103,A39,'04_Потребность'!$C$4:$C$103,B39),0))</f>
        <v/>
      </c>
      <c r="AL39" s="25" t="str">
        <f>IF('03_Настройки'!$B$7="Нет","Нет",IF(COUNTIFS('04_Потребность'!$A$4:$A$103,A39,'04_Потребность'!$C$4:$C$103,B39,'04_Потребность'!$H$4:$H$103,"Да")&gt;0,"Да","Нет"))</f>
        <v>Нет</v>
      </c>
      <c r="AM39" s="30">
        <f t="shared" si="20"/>
        <v>0</v>
      </c>
      <c r="AN39" s="30">
        <f t="shared" si="21"/>
        <v>0</v>
      </c>
      <c r="AO39" s="29">
        <f t="shared" si="22"/>
        <v>0</v>
      </c>
      <c r="AP39" s="29">
        <f t="shared" si="23"/>
        <v>0</v>
      </c>
      <c r="AQ39" s="29">
        <f t="shared" si="24"/>
        <v>0</v>
      </c>
      <c r="AR39" s="29">
        <f>IFERROR(E39*'03_Настройки'!$B$4/365*(IF(T39&gt;0,T39*V39*(1+W39)*MAX(0,N39-U39),0)+IF(X39&gt;0,X39*Z39*(1+AA39)*MAX(0,N39-Y39),0)+IF(AB39&gt;0,AB39*AD39*(1+AE39)*MAX(0,N39-AC39),0)),0)</f>
        <v>0</v>
      </c>
      <c r="AS39" s="29">
        <f t="shared" si="25"/>
        <v>0</v>
      </c>
      <c r="AT39" s="31">
        <f t="shared" si="26"/>
        <v>0</v>
      </c>
      <c r="AU39" s="31">
        <f t="shared" si="27"/>
        <v>0</v>
      </c>
      <c r="AV39" s="32">
        <f t="shared" si="28"/>
        <v>0</v>
      </c>
      <c r="AW39" s="29" t="e">
        <f t="shared" si="29"/>
        <v>#VALUE!</v>
      </c>
      <c r="AX39" s="29">
        <f t="shared" si="30"/>
        <v>0</v>
      </c>
      <c r="AY39" s="29" t="e">
        <f t="shared" si="31"/>
        <v>#VALUE!</v>
      </c>
      <c r="AZ39" s="25" t="str">
        <f>IF(AND(A39&lt;&gt;"",B39&lt;&gt;"",C39&lt;&gt;"",D39&gt;0,E39&gt;0,N39&lt;&gt;"",AH39&gt;0,O39="Да",P39="Да",BZ39="ПОЛНО",ABS(AN39-1)&lt;='03_Настройки'!$B$5,IF(T39&gt;0,AND(U39&lt;&gt;"",V39&gt;0),TRUE()),IF(X39&gt;0,AND(Y39&lt;&gt;"",Z39&gt;0),TRUE()),IF(AB39&gt;0,AND(AC39&lt;&gt;"",AD39&gt;0),TRUE()),OR(BM39="",BM39="Активна")),"Да","Нет")</f>
        <v>Нет</v>
      </c>
      <c r="BA39" s="25" t="str">
        <f t="shared" si="32"/>
        <v>Нет</v>
      </c>
      <c r="BB39" s="25" t="str">
        <f t="shared" si="33"/>
        <v/>
      </c>
      <c r="BC39" s="25" t="str">
        <f t="shared" si="34"/>
        <v/>
      </c>
      <c r="BD39" s="25" t="str">
        <f t="shared" si="35"/>
        <v/>
      </c>
      <c r="BE39" s="25" t="str">
        <f>IF(A39="","",IF(BZ39&lt;&gt;"ПОЛНО","BLOCK: неполная форма",IF(O39&lt;&gt;"Да","BLOCK: ввоз не разрешён",IF(P39&lt;&gt;"Да","BLOCK: документы не подтверждены",IF(ABS(AN39-1)&gt;'03_Настройки'!$B$5,"BLOCK: платежи не 100%",IF(AND(BM39&lt;&gt;"",BM39&lt;&gt;"Активна"),"BLOCK: позиция "&amp;BM39,IF(BA39&lt;&gt;"Да","PARTIAL: не покрывает потребность",IF(BB39="ДА","самый дешёвый"&amp;IF(BC39="ДА"," + быстрый","")&amp;IF(BD39="ДА"," + optimal",""),IF(BC39="ДА","самый быстрый"&amp;IF(BD39="ДА"," + optimal",""),IF(BD39="ДА","optimal","Допущен"))))))))))</f>
        <v/>
      </c>
      <c r="BF39" s="25">
        <f>ROW()</f>
        <v>39</v>
      </c>
      <c r="BG39" s="33"/>
      <c r="BH39" s="33"/>
      <c r="BI39" s="33"/>
      <c r="BJ39" s="33"/>
      <c r="BK39" s="33"/>
      <c r="BL39" s="34"/>
      <c r="BM39" s="33"/>
      <c r="BN39" s="35" t="str">
        <f t="shared" si="36"/>
        <v/>
      </c>
      <c r="BO39" s="36" t="str">
        <f t="shared" si="37"/>
        <v/>
      </c>
      <c r="BP39" s="33"/>
      <c r="BQ39" s="38"/>
      <c r="BR39" s="13"/>
      <c r="BS39" s="13"/>
      <c r="BT39" s="13"/>
      <c r="BU39" s="13"/>
      <c r="BV39" s="13"/>
      <c r="BW39" s="13"/>
      <c r="BX39" s="39" t="str">
        <f t="shared" si="38"/>
        <v/>
      </c>
      <c r="BY39" s="47"/>
      <c r="BZ39" s="48" t="str">
        <f t="shared" si="39"/>
        <v/>
      </c>
      <c r="CA39" s="47"/>
      <c r="CB39" s="47"/>
      <c r="CC39" s="47"/>
    </row>
    <row r="40" spans="1:81" ht="14.25" x14ac:dyDescent="0.45">
      <c r="A40" s="10"/>
      <c r="B40" s="10"/>
      <c r="C40" s="10"/>
      <c r="D40" s="10"/>
      <c r="E40" s="10"/>
      <c r="F40" s="10"/>
      <c r="G40" s="10"/>
      <c r="H40" s="25" t="str">
        <f>IFERROR(VLOOKUP(C40,'01_Поставщики'!$A$4:$M$11,2,FALSE()),"")</f>
        <v/>
      </c>
      <c r="I40" s="10"/>
      <c r="J40" s="25" t="str">
        <f>IFERROR(VLOOKUP(C40,'01_Поставщики'!$A$4:$M$11,8,FALSE()),"")</f>
        <v/>
      </c>
      <c r="K40" s="25" t="str">
        <f>IFERROR(VLOOKUP(C40,'01_Поставщики'!$A$4:$M$11,4,FALSE()),"")</f>
        <v/>
      </c>
      <c r="L40" s="25" t="str">
        <f>IFERROR(VLOOKUP(C40,'01_Поставщики'!$A$4:$M$11,10,FALSE()),"")</f>
        <v/>
      </c>
      <c r="M40" s="26" t="str">
        <f>IF(OR(A40="",B40=""),"",IFERROR(SUMIFS('04_Потребность'!$B$4:$B$103,'04_Потребность'!$A$4:$A$103,A40,'04_Потребность'!$C$4:$C$103,B40),0))</f>
        <v/>
      </c>
      <c r="N40" s="11"/>
      <c r="O40" s="10"/>
      <c r="P40" s="10"/>
      <c r="Q40" s="27"/>
      <c r="R40" s="27"/>
      <c r="S40" s="8"/>
      <c r="T40" s="8">
        <f>IFERROR(INDEX('02_Схемы оплаты'!$C$4:$C$19,MATCH($C40&amp;"|"&amp;$G40,'02_Схемы оплаты'!$H$4:$H$19,0)),0)</f>
        <v>0</v>
      </c>
      <c r="U40" s="11"/>
      <c r="V40" s="28"/>
      <c r="W40" s="8"/>
      <c r="X40" s="8">
        <f>IFERROR(INDEX('02_Схемы оплаты'!$D$4:$D$19,MATCH($C40&amp;"|"&amp;$G40,'02_Схемы оплаты'!$H$4:$H$19,0)),0)</f>
        <v>0</v>
      </c>
      <c r="Y40" s="11"/>
      <c r="Z40" s="28"/>
      <c r="AA40" s="8"/>
      <c r="AB40" s="8">
        <f>IFERROR(INDEX('02_Схемы оплаты'!$E$4:$E$19,MATCH($C40&amp;"|"&amp;$G40,'02_Схемы оплаты'!$H$4:$H$19,0)),0)</f>
        <v>0</v>
      </c>
      <c r="AC40" s="11"/>
      <c r="AD40" s="28"/>
      <c r="AE40" s="8"/>
      <c r="AF40" s="10"/>
      <c r="AG40" s="10"/>
      <c r="AH40" s="25">
        <f>IFERROR(SUMIFS('04_Потребность'!$D$4:$D$103,'04_Потребность'!$A$4:$A$103,A40,'04_Потребность'!$C$4:$C$103,B40),0)</f>
        <v>0</v>
      </c>
      <c r="AI40" s="26" t="str">
        <f>IF(OR(A40="",B40=""),"",IFERROR(SUMIFS('04_Потребность'!$E$4:$E$103,'04_Потребность'!$A$4:$A$103,A40,'04_Потребность'!$C$4:$C$103,B40),0))</f>
        <v/>
      </c>
      <c r="AJ40" s="25" t="str">
        <f>IF(OR(A40="",B40=""),"",IFERROR(SUMIFS('04_Потребность'!$F$4:$F$103,'04_Потребность'!$A$4:$A$103,A40,'04_Потребность'!$C$4:$C$103,B40),0))</f>
        <v/>
      </c>
      <c r="AK40" s="29" t="str">
        <f>IF(OR(A40="",B40=""),"",IFERROR(SUMIFS('04_Потребность'!$G$4:$G$103,'04_Потребность'!$A$4:$A$103,A40,'04_Потребность'!$C$4:$C$103,B40),0))</f>
        <v/>
      </c>
      <c r="AL40" s="25" t="str">
        <f>IF('03_Настройки'!$B$7="Нет","Нет",IF(COUNTIFS('04_Потребность'!$A$4:$A$103,A40,'04_Потребность'!$C$4:$C$103,B40,'04_Потребность'!$H$4:$H$103,"Да")&gt;0,"Да","Нет"))</f>
        <v>Нет</v>
      </c>
      <c r="AM40" s="30">
        <f t="shared" si="20"/>
        <v>0</v>
      </c>
      <c r="AN40" s="30">
        <f t="shared" si="21"/>
        <v>0</v>
      </c>
      <c r="AO40" s="29">
        <f t="shared" si="22"/>
        <v>0</v>
      </c>
      <c r="AP40" s="29">
        <f t="shared" si="23"/>
        <v>0</v>
      </c>
      <c r="AQ40" s="29">
        <f t="shared" si="24"/>
        <v>0</v>
      </c>
      <c r="AR40" s="29">
        <f>IFERROR(E40*'03_Настройки'!$B$4/365*(IF(T40&gt;0,T40*V40*(1+W40)*MAX(0,N40-U40),0)+IF(X40&gt;0,X40*Z40*(1+AA40)*MAX(0,N40-Y40),0)+IF(AB40&gt;0,AB40*AD40*(1+AE40)*MAX(0,N40-AC40),0)),0)</f>
        <v>0</v>
      </c>
      <c r="AS40" s="29">
        <f t="shared" si="25"/>
        <v>0</v>
      </c>
      <c r="AT40" s="31">
        <f t="shared" si="26"/>
        <v>0</v>
      </c>
      <c r="AU40" s="31">
        <f t="shared" si="27"/>
        <v>0</v>
      </c>
      <c r="AV40" s="32">
        <f t="shared" si="28"/>
        <v>0</v>
      </c>
      <c r="AW40" s="29" t="e">
        <f t="shared" si="29"/>
        <v>#VALUE!</v>
      </c>
      <c r="AX40" s="29">
        <f t="shared" si="30"/>
        <v>0</v>
      </c>
      <c r="AY40" s="29" t="e">
        <f t="shared" si="31"/>
        <v>#VALUE!</v>
      </c>
      <c r="AZ40" s="25" t="str">
        <f>IF(AND(A40&lt;&gt;"",B40&lt;&gt;"",C40&lt;&gt;"",D40&gt;0,E40&gt;0,N40&lt;&gt;"",AH40&gt;0,O40="Да",P40="Да",BZ40="ПОЛНО",ABS(AN40-1)&lt;='03_Настройки'!$B$5,IF(T40&gt;0,AND(U40&lt;&gt;"",V40&gt;0),TRUE()),IF(X40&gt;0,AND(Y40&lt;&gt;"",Z40&gt;0),TRUE()),IF(AB40&gt;0,AND(AC40&lt;&gt;"",AD40&gt;0),TRUE()),OR(BM40="",BM40="Активна")),"Да","Нет")</f>
        <v>Нет</v>
      </c>
      <c r="BA40" s="25" t="str">
        <f t="shared" si="32"/>
        <v>Нет</v>
      </c>
      <c r="BB40" s="25" t="str">
        <f t="shared" si="33"/>
        <v/>
      </c>
      <c r="BC40" s="25" t="str">
        <f t="shared" si="34"/>
        <v/>
      </c>
      <c r="BD40" s="25" t="str">
        <f t="shared" si="35"/>
        <v/>
      </c>
      <c r="BE40" s="25" t="str">
        <f>IF(A40="","",IF(BZ40&lt;&gt;"ПОЛНО","BLOCK: неполная форма",IF(O40&lt;&gt;"Да","BLOCK: ввоз не разрешён",IF(P40&lt;&gt;"Да","BLOCK: документы не подтверждены",IF(ABS(AN40-1)&gt;'03_Настройки'!$B$5,"BLOCK: платежи не 100%",IF(AND(BM40&lt;&gt;"",BM40&lt;&gt;"Активна"),"BLOCK: позиция "&amp;BM40,IF(BA40&lt;&gt;"Да","PARTIAL: не покрывает потребность",IF(BB40="ДА","самый дешёвый"&amp;IF(BC40="ДА"," + быстрый","")&amp;IF(BD40="ДА"," + optimal",""),IF(BC40="ДА","самый быстрый"&amp;IF(BD40="ДА"," + optimal",""),IF(BD40="ДА","optimal","Допущен"))))))))))</f>
        <v/>
      </c>
      <c r="BF40" s="25">
        <f>ROW()</f>
        <v>40</v>
      </c>
      <c r="BG40" s="33"/>
      <c r="BH40" s="33"/>
      <c r="BI40" s="33"/>
      <c r="BJ40" s="33"/>
      <c r="BK40" s="33"/>
      <c r="BL40" s="34"/>
      <c r="BM40" s="33"/>
      <c r="BN40" s="35" t="str">
        <f t="shared" si="36"/>
        <v/>
      </c>
      <c r="BO40" s="36" t="str">
        <f t="shared" si="37"/>
        <v/>
      </c>
      <c r="BP40" s="33"/>
      <c r="BQ40" s="38"/>
      <c r="BR40" s="13"/>
      <c r="BS40" s="13"/>
      <c r="BT40" s="13"/>
      <c r="BU40" s="13"/>
      <c r="BV40" s="13"/>
      <c r="BW40" s="13"/>
      <c r="BX40" s="39" t="str">
        <f t="shared" si="38"/>
        <v/>
      </c>
      <c r="BY40" s="47"/>
      <c r="BZ40" s="48" t="str">
        <f t="shared" si="39"/>
        <v/>
      </c>
      <c r="CA40" s="47"/>
      <c r="CB40" s="47"/>
      <c r="CC40" s="47"/>
    </row>
    <row r="41" spans="1:81" ht="14.25" x14ac:dyDescent="0.45">
      <c r="A41" s="10"/>
      <c r="B41" s="10"/>
      <c r="C41" s="10"/>
      <c r="D41" s="10"/>
      <c r="E41" s="10"/>
      <c r="F41" s="10"/>
      <c r="G41" s="10"/>
      <c r="H41" s="25" t="str">
        <f>IFERROR(VLOOKUP(C41,'01_Поставщики'!$A$4:$M$11,2,FALSE()),"")</f>
        <v/>
      </c>
      <c r="I41" s="10"/>
      <c r="J41" s="25" t="str">
        <f>IFERROR(VLOOKUP(C41,'01_Поставщики'!$A$4:$M$11,8,FALSE()),"")</f>
        <v/>
      </c>
      <c r="K41" s="25" t="str">
        <f>IFERROR(VLOOKUP(C41,'01_Поставщики'!$A$4:$M$11,4,FALSE()),"")</f>
        <v/>
      </c>
      <c r="L41" s="25" t="str">
        <f>IFERROR(VLOOKUP(C41,'01_Поставщики'!$A$4:$M$11,10,FALSE()),"")</f>
        <v/>
      </c>
      <c r="M41" s="26" t="str">
        <f>IF(OR(A41="",B41=""),"",IFERROR(SUMIFS('04_Потребность'!$B$4:$B$103,'04_Потребность'!$A$4:$A$103,A41,'04_Потребность'!$C$4:$C$103,B41),0))</f>
        <v/>
      </c>
      <c r="N41" s="11"/>
      <c r="O41" s="10"/>
      <c r="P41" s="10"/>
      <c r="Q41" s="27"/>
      <c r="R41" s="27"/>
      <c r="S41" s="8"/>
      <c r="T41" s="8">
        <f>IFERROR(INDEX('02_Схемы оплаты'!$C$4:$C$19,MATCH($C41&amp;"|"&amp;$G41,'02_Схемы оплаты'!$H$4:$H$19,0)),0)</f>
        <v>0</v>
      </c>
      <c r="U41" s="11"/>
      <c r="V41" s="28"/>
      <c r="W41" s="8"/>
      <c r="X41" s="8">
        <f>IFERROR(INDEX('02_Схемы оплаты'!$D$4:$D$19,MATCH($C41&amp;"|"&amp;$G41,'02_Схемы оплаты'!$H$4:$H$19,0)),0)</f>
        <v>0</v>
      </c>
      <c r="Y41" s="11"/>
      <c r="Z41" s="28"/>
      <c r="AA41" s="8"/>
      <c r="AB41" s="8">
        <f>IFERROR(INDEX('02_Схемы оплаты'!$E$4:$E$19,MATCH($C41&amp;"|"&amp;$G41,'02_Схемы оплаты'!$H$4:$H$19,0)),0)</f>
        <v>0</v>
      </c>
      <c r="AC41" s="11"/>
      <c r="AD41" s="28"/>
      <c r="AE41" s="8"/>
      <c r="AF41" s="10"/>
      <c r="AG41" s="10"/>
      <c r="AH41" s="25">
        <f>IFERROR(SUMIFS('04_Потребность'!$D$4:$D$103,'04_Потребность'!$A$4:$A$103,A41,'04_Потребность'!$C$4:$C$103,B41),0)</f>
        <v>0</v>
      </c>
      <c r="AI41" s="26" t="str">
        <f>IF(OR(A41="",B41=""),"",IFERROR(SUMIFS('04_Потребность'!$E$4:$E$103,'04_Потребность'!$A$4:$A$103,A41,'04_Потребность'!$C$4:$C$103,B41),0))</f>
        <v/>
      </c>
      <c r="AJ41" s="25" t="str">
        <f>IF(OR(A41="",B41=""),"",IFERROR(SUMIFS('04_Потребность'!$F$4:$F$103,'04_Потребность'!$A$4:$A$103,A41,'04_Потребность'!$C$4:$C$103,B41),0))</f>
        <v/>
      </c>
      <c r="AK41" s="29" t="str">
        <f>IF(OR(A41="",B41=""),"",IFERROR(SUMIFS('04_Потребность'!$G$4:$G$103,'04_Потребность'!$A$4:$A$103,A41,'04_Потребность'!$C$4:$C$103,B41),0))</f>
        <v/>
      </c>
      <c r="AL41" s="25" t="str">
        <f>IF('03_Настройки'!$B$7="Нет","Нет",IF(COUNTIFS('04_Потребность'!$A$4:$A$103,A41,'04_Потребность'!$C$4:$C$103,B41,'04_Потребность'!$H$4:$H$103,"Да")&gt;0,"Да","Нет"))</f>
        <v>Нет</v>
      </c>
      <c r="AM41" s="30">
        <f t="shared" si="20"/>
        <v>0</v>
      </c>
      <c r="AN41" s="30">
        <f t="shared" si="21"/>
        <v>0</v>
      </c>
      <c r="AO41" s="29">
        <f t="shared" si="22"/>
        <v>0</v>
      </c>
      <c r="AP41" s="29">
        <f t="shared" si="23"/>
        <v>0</v>
      </c>
      <c r="AQ41" s="29">
        <f t="shared" si="24"/>
        <v>0</v>
      </c>
      <c r="AR41" s="29">
        <f>IFERROR(E41*'03_Настройки'!$B$4/365*(IF(T41&gt;0,T41*V41*(1+W41)*MAX(0,N41-U41),0)+IF(X41&gt;0,X41*Z41*(1+AA41)*MAX(0,N41-Y41),0)+IF(AB41&gt;0,AB41*AD41*(1+AE41)*MAX(0,N41-AC41),0)),0)</f>
        <v>0</v>
      </c>
      <c r="AS41" s="29">
        <f t="shared" si="25"/>
        <v>0</v>
      </c>
      <c r="AT41" s="31">
        <f t="shared" si="26"/>
        <v>0</v>
      </c>
      <c r="AU41" s="31">
        <f t="shared" si="27"/>
        <v>0</v>
      </c>
      <c r="AV41" s="32">
        <f t="shared" si="28"/>
        <v>0</v>
      </c>
      <c r="AW41" s="29" t="e">
        <f t="shared" si="29"/>
        <v>#VALUE!</v>
      </c>
      <c r="AX41" s="29">
        <f t="shared" si="30"/>
        <v>0</v>
      </c>
      <c r="AY41" s="29" t="e">
        <f t="shared" si="31"/>
        <v>#VALUE!</v>
      </c>
      <c r="AZ41" s="25" t="str">
        <f>IF(AND(A41&lt;&gt;"",B41&lt;&gt;"",C41&lt;&gt;"",D41&gt;0,E41&gt;0,N41&lt;&gt;"",AH41&gt;0,O41="Да",P41="Да",BZ41="ПОЛНО",ABS(AN41-1)&lt;='03_Настройки'!$B$5,IF(T41&gt;0,AND(U41&lt;&gt;"",V41&gt;0),TRUE()),IF(X41&gt;0,AND(Y41&lt;&gt;"",Z41&gt;0),TRUE()),IF(AB41&gt;0,AND(AC41&lt;&gt;"",AD41&gt;0),TRUE()),OR(BM41="",BM41="Активна")),"Да","Нет")</f>
        <v>Нет</v>
      </c>
      <c r="BA41" s="25" t="str">
        <f t="shared" si="32"/>
        <v>Нет</v>
      </c>
      <c r="BB41" s="25" t="str">
        <f t="shared" si="33"/>
        <v/>
      </c>
      <c r="BC41" s="25" t="str">
        <f t="shared" si="34"/>
        <v/>
      </c>
      <c r="BD41" s="25" t="str">
        <f t="shared" si="35"/>
        <v/>
      </c>
      <c r="BE41" s="25" t="str">
        <f>IF(A41="","",IF(BZ41&lt;&gt;"ПОЛНО","BLOCK: неполная форма",IF(O41&lt;&gt;"Да","BLOCK: ввоз не разрешён",IF(P41&lt;&gt;"Да","BLOCK: документы не подтверждены",IF(ABS(AN41-1)&gt;'03_Настройки'!$B$5,"BLOCK: платежи не 100%",IF(AND(BM41&lt;&gt;"",BM41&lt;&gt;"Активна"),"BLOCK: позиция "&amp;BM41,IF(BA41&lt;&gt;"Да","PARTIAL: не покрывает потребность",IF(BB41="ДА","самый дешёвый"&amp;IF(BC41="ДА"," + быстрый","")&amp;IF(BD41="ДА"," + optimal",""),IF(BC41="ДА","самый быстрый"&amp;IF(BD41="ДА"," + optimal",""),IF(BD41="ДА","optimal","Допущен"))))))))))</f>
        <v/>
      </c>
      <c r="BF41" s="25">
        <f>ROW()</f>
        <v>41</v>
      </c>
      <c r="BG41" s="33"/>
      <c r="BH41" s="33"/>
      <c r="BI41" s="33"/>
      <c r="BJ41" s="33"/>
      <c r="BK41" s="33"/>
      <c r="BL41" s="34"/>
      <c r="BM41" s="33"/>
      <c r="BN41" s="35" t="str">
        <f t="shared" si="36"/>
        <v/>
      </c>
      <c r="BO41" s="36" t="str">
        <f t="shared" si="37"/>
        <v/>
      </c>
      <c r="BP41" s="33"/>
      <c r="BQ41" s="38"/>
      <c r="BR41" s="13"/>
      <c r="BS41" s="13"/>
      <c r="BT41" s="13"/>
      <c r="BU41" s="13"/>
      <c r="BV41" s="13"/>
      <c r="BW41" s="13"/>
      <c r="BX41" s="39" t="str">
        <f t="shared" si="38"/>
        <v/>
      </c>
      <c r="BY41" s="47"/>
      <c r="BZ41" s="48" t="str">
        <f t="shared" si="39"/>
        <v/>
      </c>
      <c r="CA41" s="47"/>
      <c r="CB41" s="47"/>
      <c r="CC41" s="47"/>
    </row>
    <row r="42" spans="1:81" ht="14.25" x14ac:dyDescent="0.45">
      <c r="A42" s="10"/>
      <c r="B42" s="10"/>
      <c r="C42" s="10"/>
      <c r="D42" s="10"/>
      <c r="E42" s="10"/>
      <c r="F42" s="10"/>
      <c r="G42" s="10"/>
      <c r="H42" s="25" t="str">
        <f>IFERROR(VLOOKUP(C42,'01_Поставщики'!$A$4:$M$11,2,FALSE()),"")</f>
        <v/>
      </c>
      <c r="I42" s="10"/>
      <c r="J42" s="25" t="str">
        <f>IFERROR(VLOOKUP(C42,'01_Поставщики'!$A$4:$M$11,8,FALSE()),"")</f>
        <v/>
      </c>
      <c r="K42" s="25" t="str">
        <f>IFERROR(VLOOKUP(C42,'01_Поставщики'!$A$4:$M$11,4,FALSE()),"")</f>
        <v/>
      </c>
      <c r="L42" s="25" t="str">
        <f>IFERROR(VLOOKUP(C42,'01_Поставщики'!$A$4:$M$11,10,FALSE()),"")</f>
        <v/>
      </c>
      <c r="M42" s="26" t="str">
        <f>IF(OR(A42="",B42=""),"",IFERROR(SUMIFS('04_Потребность'!$B$4:$B$103,'04_Потребность'!$A$4:$A$103,A42,'04_Потребность'!$C$4:$C$103,B42),0))</f>
        <v/>
      </c>
      <c r="N42" s="11"/>
      <c r="O42" s="10"/>
      <c r="P42" s="10"/>
      <c r="Q42" s="27"/>
      <c r="R42" s="27"/>
      <c r="S42" s="8"/>
      <c r="T42" s="8">
        <f>IFERROR(INDEX('02_Схемы оплаты'!$C$4:$C$19,MATCH($C42&amp;"|"&amp;$G42,'02_Схемы оплаты'!$H$4:$H$19,0)),0)</f>
        <v>0</v>
      </c>
      <c r="U42" s="11"/>
      <c r="V42" s="28"/>
      <c r="W42" s="8"/>
      <c r="X42" s="8">
        <f>IFERROR(INDEX('02_Схемы оплаты'!$D$4:$D$19,MATCH($C42&amp;"|"&amp;$G42,'02_Схемы оплаты'!$H$4:$H$19,0)),0)</f>
        <v>0</v>
      </c>
      <c r="Y42" s="11"/>
      <c r="Z42" s="28"/>
      <c r="AA42" s="8"/>
      <c r="AB42" s="8">
        <f>IFERROR(INDEX('02_Схемы оплаты'!$E$4:$E$19,MATCH($C42&amp;"|"&amp;$G42,'02_Схемы оплаты'!$H$4:$H$19,0)),0)</f>
        <v>0</v>
      </c>
      <c r="AC42" s="11"/>
      <c r="AD42" s="28"/>
      <c r="AE42" s="8"/>
      <c r="AF42" s="10"/>
      <c r="AG42" s="10"/>
      <c r="AH42" s="25">
        <f>IFERROR(SUMIFS('04_Потребность'!$D$4:$D$103,'04_Потребность'!$A$4:$A$103,A42,'04_Потребность'!$C$4:$C$103,B42),0)</f>
        <v>0</v>
      </c>
      <c r="AI42" s="26" t="str">
        <f>IF(OR(A42="",B42=""),"",IFERROR(SUMIFS('04_Потребность'!$E$4:$E$103,'04_Потребность'!$A$4:$A$103,A42,'04_Потребность'!$C$4:$C$103,B42),0))</f>
        <v/>
      </c>
      <c r="AJ42" s="25" t="str">
        <f>IF(OR(A42="",B42=""),"",IFERROR(SUMIFS('04_Потребность'!$F$4:$F$103,'04_Потребность'!$A$4:$A$103,A42,'04_Потребность'!$C$4:$C$103,B42),0))</f>
        <v/>
      </c>
      <c r="AK42" s="29" t="str">
        <f>IF(OR(A42="",B42=""),"",IFERROR(SUMIFS('04_Потребность'!$G$4:$G$103,'04_Потребность'!$A$4:$A$103,A42,'04_Потребность'!$C$4:$C$103,B42),0))</f>
        <v/>
      </c>
      <c r="AL42" s="25" t="str">
        <f>IF('03_Настройки'!$B$7="Нет","Нет",IF(COUNTIFS('04_Потребность'!$A$4:$A$103,A42,'04_Потребность'!$C$4:$C$103,B42,'04_Потребность'!$H$4:$H$103,"Да")&gt;0,"Да","Нет"))</f>
        <v>Нет</v>
      </c>
      <c r="AM42" s="30">
        <f t="shared" si="20"/>
        <v>0</v>
      </c>
      <c r="AN42" s="30">
        <f t="shared" si="21"/>
        <v>0</v>
      </c>
      <c r="AO42" s="29">
        <f t="shared" si="22"/>
        <v>0</v>
      </c>
      <c r="AP42" s="29">
        <f t="shared" si="23"/>
        <v>0</v>
      </c>
      <c r="AQ42" s="29">
        <f t="shared" si="24"/>
        <v>0</v>
      </c>
      <c r="AR42" s="29">
        <f>IFERROR(E42*'03_Настройки'!$B$4/365*(IF(T42&gt;0,T42*V42*(1+W42)*MAX(0,N42-U42),0)+IF(X42&gt;0,X42*Z42*(1+AA42)*MAX(0,N42-Y42),0)+IF(AB42&gt;0,AB42*AD42*(1+AE42)*MAX(0,N42-AC42),0)),0)</f>
        <v>0</v>
      </c>
      <c r="AS42" s="29">
        <f t="shared" si="25"/>
        <v>0</v>
      </c>
      <c r="AT42" s="31">
        <f t="shared" si="26"/>
        <v>0</v>
      </c>
      <c r="AU42" s="31">
        <f t="shared" si="27"/>
        <v>0</v>
      </c>
      <c r="AV42" s="32">
        <f t="shared" si="28"/>
        <v>0</v>
      </c>
      <c r="AW42" s="29" t="e">
        <f t="shared" si="29"/>
        <v>#VALUE!</v>
      </c>
      <c r="AX42" s="29">
        <f t="shared" si="30"/>
        <v>0</v>
      </c>
      <c r="AY42" s="29" t="e">
        <f t="shared" si="31"/>
        <v>#VALUE!</v>
      </c>
      <c r="AZ42" s="25" t="str">
        <f>IF(AND(A42&lt;&gt;"",B42&lt;&gt;"",C42&lt;&gt;"",D42&gt;0,E42&gt;0,N42&lt;&gt;"",AH42&gt;0,O42="Да",P42="Да",BZ42="ПОЛНО",ABS(AN42-1)&lt;='03_Настройки'!$B$5,IF(T42&gt;0,AND(U42&lt;&gt;"",V42&gt;0),TRUE()),IF(X42&gt;0,AND(Y42&lt;&gt;"",Z42&gt;0),TRUE()),IF(AB42&gt;0,AND(AC42&lt;&gt;"",AD42&gt;0),TRUE()),OR(BM42="",BM42="Активна")),"Да","Нет")</f>
        <v>Нет</v>
      </c>
      <c r="BA42" s="25" t="str">
        <f t="shared" si="32"/>
        <v>Нет</v>
      </c>
      <c r="BB42" s="25" t="str">
        <f t="shared" si="33"/>
        <v/>
      </c>
      <c r="BC42" s="25" t="str">
        <f t="shared" si="34"/>
        <v/>
      </c>
      <c r="BD42" s="25" t="str">
        <f t="shared" si="35"/>
        <v/>
      </c>
      <c r="BE42" s="25" t="str">
        <f>IF(A42="","",IF(BZ42&lt;&gt;"ПОЛНО","BLOCK: неполная форма",IF(O42&lt;&gt;"Да","BLOCK: ввоз не разрешён",IF(P42&lt;&gt;"Да","BLOCK: документы не подтверждены",IF(ABS(AN42-1)&gt;'03_Настройки'!$B$5,"BLOCK: платежи не 100%",IF(AND(BM42&lt;&gt;"",BM42&lt;&gt;"Активна"),"BLOCK: позиция "&amp;BM42,IF(BA42&lt;&gt;"Да","PARTIAL: не покрывает потребность",IF(BB42="ДА","самый дешёвый"&amp;IF(BC42="ДА"," + быстрый","")&amp;IF(BD42="ДА"," + optimal",""),IF(BC42="ДА","самый быстрый"&amp;IF(BD42="ДА"," + optimal",""),IF(BD42="ДА","optimal","Допущен"))))))))))</f>
        <v/>
      </c>
      <c r="BF42" s="25">
        <f>ROW()</f>
        <v>42</v>
      </c>
      <c r="BG42" s="33"/>
      <c r="BH42" s="33"/>
      <c r="BI42" s="33"/>
      <c r="BJ42" s="33"/>
      <c r="BK42" s="33"/>
      <c r="BL42" s="34"/>
      <c r="BM42" s="33"/>
      <c r="BN42" s="35" t="str">
        <f t="shared" si="36"/>
        <v/>
      </c>
      <c r="BO42" s="36" t="str">
        <f t="shared" si="37"/>
        <v/>
      </c>
      <c r="BP42" s="33"/>
      <c r="BQ42" s="38"/>
      <c r="BR42" s="13"/>
      <c r="BS42" s="13"/>
      <c r="BT42" s="13"/>
      <c r="BU42" s="13"/>
      <c r="BV42" s="13"/>
      <c r="BW42" s="13"/>
      <c r="BX42" s="39" t="str">
        <f t="shared" si="38"/>
        <v/>
      </c>
      <c r="BY42" s="47"/>
      <c r="BZ42" s="48" t="str">
        <f t="shared" si="39"/>
        <v/>
      </c>
      <c r="CA42" s="47"/>
      <c r="CB42" s="47"/>
      <c r="CC42" s="47"/>
    </row>
    <row r="43" spans="1:81" ht="14.25" x14ac:dyDescent="0.45">
      <c r="A43" s="10"/>
      <c r="B43" s="10"/>
      <c r="C43" s="10"/>
      <c r="D43" s="10"/>
      <c r="E43" s="10"/>
      <c r="F43" s="10"/>
      <c r="G43" s="10"/>
      <c r="H43" s="25" t="str">
        <f>IFERROR(VLOOKUP(C43,'01_Поставщики'!$A$4:$M$11,2,FALSE()),"")</f>
        <v/>
      </c>
      <c r="I43" s="10"/>
      <c r="J43" s="25" t="str">
        <f>IFERROR(VLOOKUP(C43,'01_Поставщики'!$A$4:$M$11,8,FALSE()),"")</f>
        <v/>
      </c>
      <c r="K43" s="25" t="str">
        <f>IFERROR(VLOOKUP(C43,'01_Поставщики'!$A$4:$M$11,4,FALSE()),"")</f>
        <v/>
      </c>
      <c r="L43" s="25" t="str">
        <f>IFERROR(VLOOKUP(C43,'01_Поставщики'!$A$4:$M$11,10,FALSE()),"")</f>
        <v/>
      </c>
      <c r="M43" s="26" t="str">
        <f>IF(OR(A43="",B43=""),"",IFERROR(SUMIFS('04_Потребность'!$B$4:$B$103,'04_Потребность'!$A$4:$A$103,A43,'04_Потребность'!$C$4:$C$103,B43),0))</f>
        <v/>
      </c>
      <c r="N43" s="11"/>
      <c r="O43" s="10"/>
      <c r="P43" s="10"/>
      <c r="Q43" s="27"/>
      <c r="R43" s="27"/>
      <c r="S43" s="8"/>
      <c r="T43" s="8">
        <f>IFERROR(INDEX('02_Схемы оплаты'!$C$4:$C$19,MATCH($C43&amp;"|"&amp;$G43,'02_Схемы оплаты'!$H$4:$H$19,0)),0)</f>
        <v>0</v>
      </c>
      <c r="U43" s="11"/>
      <c r="V43" s="28"/>
      <c r="W43" s="8"/>
      <c r="X43" s="8">
        <f>IFERROR(INDEX('02_Схемы оплаты'!$D$4:$D$19,MATCH($C43&amp;"|"&amp;$G43,'02_Схемы оплаты'!$H$4:$H$19,0)),0)</f>
        <v>0</v>
      </c>
      <c r="Y43" s="11"/>
      <c r="Z43" s="28"/>
      <c r="AA43" s="8"/>
      <c r="AB43" s="8">
        <f>IFERROR(INDEX('02_Схемы оплаты'!$E$4:$E$19,MATCH($C43&amp;"|"&amp;$G43,'02_Схемы оплаты'!$H$4:$H$19,0)),0)</f>
        <v>0</v>
      </c>
      <c r="AC43" s="11"/>
      <c r="AD43" s="28"/>
      <c r="AE43" s="8"/>
      <c r="AF43" s="10"/>
      <c r="AG43" s="10"/>
      <c r="AH43" s="25">
        <f>IFERROR(SUMIFS('04_Потребность'!$D$4:$D$103,'04_Потребность'!$A$4:$A$103,A43,'04_Потребность'!$C$4:$C$103,B43),0)</f>
        <v>0</v>
      </c>
      <c r="AI43" s="26" t="str">
        <f>IF(OR(A43="",B43=""),"",IFERROR(SUMIFS('04_Потребность'!$E$4:$E$103,'04_Потребность'!$A$4:$A$103,A43,'04_Потребность'!$C$4:$C$103,B43),0))</f>
        <v/>
      </c>
      <c r="AJ43" s="25" t="str">
        <f>IF(OR(A43="",B43=""),"",IFERROR(SUMIFS('04_Потребность'!$F$4:$F$103,'04_Потребность'!$A$4:$A$103,A43,'04_Потребность'!$C$4:$C$103,B43),0))</f>
        <v/>
      </c>
      <c r="AK43" s="29" t="str">
        <f>IF(OR(A43="",B43=""),"",IFERROR(SUMIFS('04_Потребность'!$G$4:$G$103,'04_Потребность'!$A$4:$A$103,A43,'04_Потребность'!$C$4:$C$103,B43),0))</f>
        <v/>
      </c>
      <c r="AL43" s="25" t="str">
        <f>IF('03_Настройки'!$B$7="Нет","Нет",IF(COUNTIFS('04_Потребность'!$A$4:$A$103,A43,'04_Потребность'!$C$4:$C$103,B43,'04_Потребность'!$H$4:$H$103,"Да")&gt;0,"Да","Нет"))</f>
        <v>Нет</v>
      </c>
      <c r="AM43" s="30">
        <f t="shared" si="20"/>
        <v>0</v>
      </c>
      <c r="AN43" s="30">
        <f t="shared" si="21"/>
        <v>0</v>
      </c>
      <c r="AO43" s="29">
        <f t="shared" si="22"/>
        <v>0</v>
      </c>
      <c r="AP43" s="29">
        <f t="shared" si="23"/>
        <v>0</v>
      </c>
      <c r="AQ43" s="29">
        <f t="shared" si="24"/>
        <v>0</v>
      </c>
      <c r="AR43" s="29">
        <f>IFERROR(E43*'03_Настройки'!$B$4/365*(IF(T43&gt;0,T43*V43*(1+W43)*MAX(0,N43-U43),0)+IF(X43&gt;0,X43*Z43*(1+AA43)*MAX(0,N43-Y43),0)+IF(AB43&gt;0,AB43*AD43*(1+AE43)*MAX(0,N43-AC43),0)),0)</f>
        <v>0</v>
      </c>
      <c r="AS43" s="29">
        <f t="shared" si="25"/>
        <v>0</v>
      </c>
      <c r="AT43" s="31">
        <f t="shared" si="26"/>
        <v>0</v>
      </c>
      <c r="AU43" s="31">
        <f t="shared" si="27"/>
        <v>0</v>
      </c>
      <c r="AV43" s="32">
        <f t="shared" si="28"/>
        <v>0</v>
      </c>
      <c r="AW43" s="29" t="e">
        <f t="shared" si="29"/>
        <v>#VALUE!</v>
      </c>
      <c r="AX43" s="29">
        <f t="shared" si="30"/>
        <v>0</v>
      </c>
      <c r="AY43" s="29" t="e">
        <f t="shared" si="31"/>
        <v>#VALUE!</v>
      </c>
      <c r="AZ43" s="25" t="str">
        <f>IF(AND(A43&lt;&gt;"",B43&lt;&gt;"",C43&lt;&gt;"",D43&gt;0,E43&gt;0,N43&lt;&gt;"",AH43&gt;0,O43="Да",P43="Да",BZ43="ПОЛНО",ABS(AN43-1)&lt;='03_Настройки'!$B$5,IF(T43&gt;0,AND(U43&lt;&gt;"",V43&gt;0),TRUE()),IF(X43&gt;0,AND(Y43&lt;&gt;"",Z43&gt;0),TRUE()),IF(AB43&gt;0,AND(AC43&lt;&gt;"",AD43&gt;0),TRUE()),OR(BM43="",BM43="Активна")),"Да","Нет")</f>
        <v>Нет</v>
      </c>
      <c r="BA43" s="25" t="str">
        <f t="shared" si="32"/>
        <v>Нет</v>
      </c>
      <c r="BB43" s="25" t="str">
        <f t="shared" si="33"/>
        <v/>
      </c>
      <c r="BC43" s="25" t="str">
        <f t="shared" si="34"/>
        <v/>
      </c>
      <c r="BD43" s="25" t="str">
        <f t="shared" si="35"/>
        <v/>
      </c>
      <c r="BE43" s="25" t="str">
        <f>IF(A43="","",IF(BZ43&lt;&gt;"ПОЛНО","BLOCK: неполная форма",IF(O43&lt;&gt;"Да","BLOCK: ввоз не разрешён",IF(P43&lt;&gt;"Да","BLOCK: документы не подтверждены",IF(ABS(AN43-1)&gt;'03_Настройки'!$B$5,"BLOCK: платежи не 100%",IF(AND(BM43&lt;&gt;"",BM43&lt;&gt;"Активна"),"BLOCK: позиция "&amp;BM43,IF(BA43&lt;&gt;"Да","PARTIAL: не покрывает потребность",IF(BB43="ДА","самый дешёвый"&amp;IF(BC43="ДА"," + быстрый","")&amp;IF(BD43="ДА"," + optimal",""),IF(BC43="ДА","самый быстрый"&amp;IF(BD43="ДА"," + optimal",""),IF(BD43="ДА","optimal","Допущен"))))))))))</f>
        <v/>
      </c>
      <c r="BF43" s="25">
        <f>ROW()</f>
        <v>43</v>
      </c>
      <c r="BG43" s="33"/>
      <c r="BH43" s="33"/>
      <c r="BI43" s="33"/>
      <c r="BJ43" s="33"/>
      <c r="BK43" s="33"/>
      <c r="BL43" s="34"/>
      <c r="BM43" s="33"/>
      <c r="BN43" s="35" t="str">
        <f t="shared" si="36"/>
        <v/>
      </c>
      <c r="BO43" s="36" t="str">
        <f t="shared" si="37"/>
        <v/>
      </c>
      <c r="BP43" s="33"/>
      <c r="BQ43" s="38"/>
      <c r="BR43" s="13"/>
      <c r="BS43" s="13"/>
      <c r="BT43" s="13"/>
      <c r="BU43" s="13"/>
      <c r="BV43" s="13"/>
      <c r="BW43" s="13"/>
      <c r="BX43" s="39" t="str">
        <f t="shared" si="38"/>
        <v/>
      </c>
      <c r="BY43" s="47"/>
      <c r="BZ43" s="48" t="str">
        <f t="shared" si="39"/>
        <v/>
      </c>
      <c r="CA43" s="47"/>
      <c r="CB43" s="47"/>
      <c r="CC43" s="47"/>
    </row>
    <row r="44" spans="1:81" ht="14.25" x14ac:dyDescent="0.45">
      <c r="A44" s="10"/>
      <c r="B44" s="10"/>
      <c r="C44" s="10"/>
      <c r="D44" s="10"/>
      <c r="E44" s="10"/>
      <c r="F44" s="10"/>
      <c r="G44" s="10"/>
      <c r="H44" s="25" t="str">
        <f>IFERROR(VLOOKUP(C44,'01_Поставщики'!$A$4:$M$11,2,FALSE()),"")</f>
        <v/>
      </c>
      <c r="I44" s="10"/>
      <c r="J44" s="25" t="str">
        <f>IFERROR(VLOOKUP(C44,'01_Поставщики'!$A$4:$M$11,8,FALSE()),"")</f>
        <v/>
      </c>
      <c r="K44" s="25" t="str">
        <f>IFERROR(VLOOKUP(C44,'01_Поставщики'!$A$4:$M$11,4,FALSE()),"")</f>
        <v/>
      </c>
      <c r="L44" s="25" t="str">
        <f>IFERROR(VLOOKUP(C44,'01_Поставщики'!$A$4:$M$11,10,FALSE()),"")</f>
        <v/>
      </c>
      <c r="M44" s="26" t="str">
        <f>IF(OR(A44="",B44=""),"",IFERROR(SUMIFS('04_Потребность'!$B$4:$B$103,'04_Потребность'!$A$4:$A$103,A44,'04_Потребность'!$C$4:$C$103,B44),0))</f>
        <v/>
      </c>
      <c r="N44" s="11"/>
      <c r="O44" s="10"/>
      <c r="P44" s="10"/>
      <c r="Q44" s="27"/>
      <c r="R44" s="27"/>
      <c r="S44" s="8"/>
      <c r="T44" s="8">
        <f>IFERROR(INDEX('02_Схемы оплаты'!$C$4:$C$19,MATCH($C44&amp;"|"&amp;$G44,'02_Схемы оплаты'!$H$4:$H$19,0)),0)</f>
        <v>0</v>
      </c>
      <c r="U44" s="11"/>
      <c r="V44" s="28"/>
      <c r="W44" s="8"/>
      <c r="X44" s="8">
        <f>IFERROR(INDEX('02_Схемы оплаты'!$D$4:$D$19,MATCH($C44&amp;"|"&amp;$G44,'02_Схемы оплаты'!$H$4:$H$19,0)),0)</f>
        <v>0</v>
      </c>
      <c r="Y44" s="11"/>
      <c r="Z44" s="28"/>
      <c r="AA44" s="8"/>
      <c r="AB44" s="8">
        <f>IFERROR(INDEX('02_Схемы оплаты'!$E$4:$E$19,MATCH($C44&amp;"|"&amp;$G44,'02_Схемы оплаты'!$H$4:$H$19,0)),0)</f>
        <v>0</v>
      </c>
      <c r="AC44" s="11"/>
      <c r="AD44" s="28"/>
      <c r="AE44" s="8"/>
      <c r="AF44" s="10"/>
      <c r="AG44" s="10"/>
      <c r="AH44" s="25">
        <f>IFERROR(SUMIFS('04_Потребность'!$D$4:$D$103,'04_Потребность'!$A$4:$A$103,A44,'04_Потребность'!$C$4:$C$103,B44),0)</f>
        <v>0</v>
      </c>
      <c r="AI44" s="26" t="str">
        <f>IF(OR(A44="",B44=""),"",IFERROR(SUMIFS('04_Потребность'!$E$4:$E$103,'04_Потребность'!$A$4:$A$103,A44,'04_Потребность'!$C$4:$C$103,B44),0))</f>
        <v/>
      </c>
      <c r="AJ44" s="25" t="str">
        <f>IF(OR(A44="",B44=""),"",IFERROR(SUMIFS('04_Потребность'!$F$4:$F$103,'04_Потребность'!$A$4:$A$103,A44,'04_Потребность'!$C$4:$C$103,B44),0))</f>
        <v/>
      </c>
      <c r="AK44" s="29" t="str">
        <f>IF(OR(A44="",B44=""),"",IFERROR(SUMIFS('04_Потребность'!$G$4:$G$103,'04_Потребность'!$A$4:$A$103,A44,'04_Потребность'!$C$4:$C$103,B44),0))</f>
        <v/>
      </c>
      <c r="AL44" s="25" t="str">
        <f>IF('03_Настройки'!$B$7="Нет","Нет",IF(COUNTIFS('04_Потребность'!$A$4:$A$103,A44,'04_Потребность'!$C$4:$C$103,B44,'04_Потребность'!$H$4:$H$103,"Да")&gt;0,"Да","Нет"))</f>
        <v>Нет</v>
      </c>
      <c r="AM44" s="30">
        <f t="shared" si="20"/>
        <v>0</v>
      </c>
      <c r="AN44" s="30">
        <f t="shared" si="21"/>
        <v>0</v>
      </c>
      <c r="AO44" s="29">
        <f t="shared" si="22"/>
        <v>0</v>
      </c>
      <c r="AP44" s="29">
        <f t="shared" si="23"/>
        <v>0</v>
      </c>
      <c r="AQ44" s="29">
        <f t="shared" si="24"/>
        <v>0</v>
      </c>
      <c r="AR44" s="29">
        <f>IFERROR(E44*'03_Настройки'!$B$4/365*(IF(T44&gt;0,T44*V44*(1+W44)*MAX(0,N44-U44),0)+IF(X44&gt;0,X44*Z44*(1+AA44)*MAX(0,N44-Y44),0)+IF(AB44&gt;0,AB44*AD44*(1+AE44)*MAX(0,N44-AC44),0)),0)</f>
        <v>0</v>
      </c>
      <c r="AS44" s="29">
        <f t="shared" si="25"/>
        <v>0</v>
      </c>
      <c r="AT44" s="31">
        <f t="shared" si="26"/>
        <v>0</v>
      </c>
      <c r="AU44" s="31">
        <f t="shared" si="27"/>
        <v>0</v>
      </c>
      <c r="AV44" s="32">
        <f t="shared" si="28"/>
        <v>0</v>
      </c>
      <c r="AW44" s="29" t="e">
        <f t="shared" si="29"/>
        <v>#VALUE!</v>
      </c>
      <c r="AX44" s="29">
        <f t="shared" si="30"/>
        <v>0</v>
      </c>
      <c r="AY44" s="29" t="e">
        <f t="shared" si="31"/>
        <v>#VALUE!</v>
      </c>
      <c r="AZ44" s="25" t="str">
        <f>IF(AND(A44&lt;&gt;"",B44&lt;&gt;"",C44&lt;&gt;"",D44&gt;0,E44&gt;0,N44&lt;&gt;"",AH44&gt;0,O44="Да",P44="Да",BZ44="ПОЛНО",ABS(AN44-1)&lt;='03_Настройки'!$B$5,IF(T44&gt;0,AND(U44&lt;&gt;"",V44&gt;0),TRUE()),IF(X44&gt;0,AND(Y44&lt;&gt;"",Z44&gt;0),TRUE()),IF(AB44&gt;0,AND(AC44&lt;&gt;"",AD44&gt;0),TRUE()),OR(BM44="",BM44="Активна")),"Да","Нет")</f>
        <v>Нет</v>
      </c>
      <c r="BA44" s="25" t="str">
        <f t="shared" si="32"/>
        <v>Нет</v>
      </c>
      <c r="BB44" s="25" t="str">
        <f t="shared" si="33"/>
        <v/>
      </c>
      <c r="BC44" s="25" t="str">
        <f t="shared" si="34"/>
        <v/>
      </c>
      <c r="BD44" s="25" t="str">
        <f t="shared" si="35"/>
        <v/>
      </c>
      <c r="BE44" s="25" t="str">
        <f>IF(A44="","",IF(BZ44&lt;&gt;"ПОЛНО","BLOCK: неполная форма",IF(O44&lt;&gt;"Да","BLOCK: ввоз не разрешён",IF(P44&lt;&gt;"Да","BLOCK: документы не подтверждены",IF(ABS(AN44-1)&gt;'03_Настройки'!$B$5,"BLOCK: платежи не 100%",IF(AND(BM44&lt;&gt;"",BM44&lt;&gt;"Активна"),"BLOCK: позиция "&amp;BM44,IF(BA44&lt;&gt;"Да","PARTIAL: не покрывает потребность",IF(BB44="ДА","самый дешёвый"&amp;IF(BC44="ДА"," + быстрый","")&amp;IF(BD44="ДА"," + optimal",""),IF(BC44="ДА","самый быстрый"&amp;IF(BD44="ДА"," + optimal",""),IF(BD44="ДА","optimal","Допущен"))))))))))</f>
        <v/>
      </c>
      <c r="BF44" s="25">
        <f>ROW()</f>
        <v>44</v>
      </c>
      <c r="BG44" s="33"/>
      <c r="BH44" s="33"/>
      <c r="BI44" s="33"/>
      <c r="BJ44" s="33"/>
      <c r="BK44" s="33"/>
      <c r="BL44" s="34"/>
      <c r="BM44" s="33"/>
      <c r="BN44" s="35" t="str">
        <f t="shared" si="36"/>
        <v/>
      </c>
      <c r="BO44" s="36" t="str">
        <f t="shared" si="37"/>
        <v/>
      </c>
      <c r="BP44" s="33"/>
      <c r="BQ44" s="38"/>
      <c r="BR44" s="13"/>
      <c r="BS44" s="13"/>
      <c r="BT44" s="13"/>
      <c r="BU44" s="13"/>
      <c r="BV44" s="13"/>
      <c r="BW44" s="13"/>
      <c r="BX44" s="39" t="str">
        <f t="shared" si="38"/>
        <v/>
      </c>
      <c r="BY44" s="47"/>
      <c r="BZ44" s="48" t="str">
        <f t="shared" si="39"/>
        <v/>
      </c>
      <c r="CA44" s="47"/>
      <c r="CB44" s="47"/>
      <c r="CC44" s="47"/>
    </row>
    <row r="45" spans="1:81" ht="14.25" x14ac:dyDescent="0.45">
      <c r="A45" s="10"/>
      <c r="B45" s="10"/>
      <c r="C45" s="10"/>
      <c r="D45" s="10"/>
      <c r="E45" s="10"/>
      <c r="F45" s="10"/>
      <c r="G45" s="10"/>
      <c r="H45" s="25" t="str">
        <f>IFERROR(VLOOKUP(C45,'01_Поставщики'!$A$4:$M$11,2,FALSE()),"")</f>
        <v/>
      </c>
      <c r="I45" s="10"/>
      <c r="J45" s="25" t="str">
        <f>IFERROR(VLOOKUP(C45,'01_Поставщики'!$A$4:$M$11,8,FALSE()),"")</f>
        <v/>
      </c>
      <c r="K45" s="25" t="str">
        <f>IFERROR(VLOOKUP(C45,'01_Поставщики'!$A$4:$M$11,4,FALSE()),"")</f>
        <v/>
      </c>
      <c r="L45" s="25" t="str">
        <f>IFERROR(VLOOKUP(C45,'01_Поставщики'!$A$4:$M$11,10,FALSE()),"")</f>
        <v/>
      </c>
      <c r="M45" s="26" t="str">
        <f>IF(OR(A45="",B45=""),"",IFERROR(SUMIFS('04_Потребность'!$B$4:$B$103,'04_Потребность'!$A$4:$A$103,A45,'04_Потребность'!$C$4:$C$103,B45),0))</f>
        <v/>
      </c>
      <c r="N45" s="11"/>
      <c r="O45" s="10"/>
      <c r="P45" s="10"/>
      <c r="Q45" s="27"/>
      <c r="R45" s="27"/>
      <c r="S45" s="8"/>
      <c r="T45" s="8">
        <f>IFERROR(INDEX('02_Схемы оплаты'!$C$4:$C$19,MATCH($C45&amp;"|"&amp;$G45,'02_Схемы оплаты'!$H$4:$H$19,0)),0)</f>
        <v>0</v>
      </c>
      <c r="U45" s="11"/>
      <c r="V45" s="28"/>
      <c r="W45" s="8"/>
      <c r="X45" s="8">
        <f>IFERROR(INDEX('02_Схемы оплаты'!$D$4:$D$19,MATCH($C45&amp;"|"&amp;$G45,'02_Схемы оплаты'!$H$4:$H$19,0)),0)</f>
        <v>0</v>
      </c>
      <c r="Y45" s="11"/>
      <c r="Z45" s="28"/>
      <c r="AA45" s="8"/>
      <c r="AB45" s="8">
        <f>IFERROR(INDEX('02_Схемы оплаты'!$E$4:$E$19,MATCH($C45&amp;"|"&amp;$G45,'02_Схемы оплаты'!$H$4:$H$19,0)),0)</f>
        <v>0</v>
      </c>
      <c r="AC45" s="11"/>
      <c r="AD45" s="28"/>
      <c r="AE45" s="8"/>
      <c r="AF45" s="10"/>
      <c r="AG45" s="10"/>
      <c r="AH45" s="25">
        <f>IFERROR(SUMIFS('04_Потребность'!$D$4:$D$103,'04_Потребность'!$A$4:$A$103,A45,'04_Потребность'!$C$4:$C$103,B45),0)</f>
        <v>0</v>
      </c>
      <c r="AI45" s="26" t="str">
        <f>IF(OR(A45="",B45=""),"",IFERROR(SUMIFS('04_Потребность'!$E$4:$E$103,'04_Потребность'!$A$4:$A$103,A45,'04_Потребность'!$C$4:$C$103,B45),0))</f>
        <v/>
      </c>
      <c r="AJ45" s="25" t="str">
        <f>IF(OR(A45="",B45=""),"",IFERROR(SUMIFS('04_Потребность'!$F$4:$F$103,'04_Потребность'!$A$4:$A$103,A45,'04_Потребность'!$C$4:$C$103,B45),0))</f>
        <v/>
      </c>
      <c r="AK45" s="29" t="str">
        <f>IF(OR(A45="",B45=""),"",IFERROR(SUMIFS('04_Потребность'!$G$4:$G$103,'04_Потребность'!$A$4:$A$103,A45,'04_Потребность'!$C$4:$C$103,B45),0))</f>
        <v/>
      </c>
      <c r="AL45" s="25" t="str">
        <f>IF('03_Настройки'!$B$7="Нет","Нет",IF(COUNTIFS('04_Потребность'!$A$4:$A$103,A45,'04_Потребность'!$C$4:$C$103,B45,'04_Потребность'!$H$4:$H$103,"Да")&gt;0,"Да","Нет"))</f>
        <v>Нет</v>
      </c>
      <c r="AM45" s="30">
        <f t="shared" si="20"/>
        <v>0</v>
      </c>
      <c r="AN45" s="30">
        <f t="shared" si="21"/>
        <v>0</v>
      </c>
      <c r="AO45" s="29">
        <f t="shared" si="22"/>
        <v>0</v>
      </c>
      <c r="AP45" s="29">
        <f t="shared" si="23"/>
        <v>0</v>
      </c>
      <c r="AQ45" s="29">
        <f t="shared" si="24"/>
        <v>0</v>
      </c>
      <c r="AR45" s="29">
        <f>IFERROR(E45*'03_Настройки'!$B$4/365*(IF(T45&gt;0,T45*V45*(1+W45)*MAX(0,N45-U45),0)+IF(X45&gt;0,X45*Z45*(1+AA45)*MAX(0,N45-Y45),0)+IF(AB45&gt;0,AB45*AD45*(1+AE45)*MAX(0,N45-AC45),0)),0)</f>
        <v>0</v>
      </c>
      <c r="AS45" s="29">
        <f t="shared" si="25"/>
        <v>0</v>
      </c>
      <c r="AT45" s="31">
        <f t="shared" si="26"/>
        <v>0</v>
      </c>
      <c r="AU45" s="31">
        <f t="shared" si="27"/>
        <v>0</v>
      </c>
      <c r="AV45" s="32">
        <f t="shared" si="28"/>
        <v>0</v>
      </c>
      <c r="AW45" s="29" t="e">
        <f t="shared" si="29"/>
        <v>#VALUE!</v>
      </c>
      <c r="AX45" s="29">
        <f t="shared" si="30"/>
        <v>0</v>
      </c>
      <c r="AY45" s="29" t="e">
        <f t="shared" si="31"/>
        <v>#VALUE!</v>
      </c>
      <c r="AZ45" s="25" t="str">
        <f>IF(AND(A45&lt;&gt;"",B45&lt;&gt;"",C45&lt;&gt;"",D45&gt;0,E45&gt;0,N45&lt;&gt;"",AH45&gt;0,O45="Да",P45="Да",BZ45="ПОЛНО",ABS(AN45-1)&lt;='03_Настройки'!$B$5,IF(T45&gt;0,AND(U45&lt;&gt;"",V45&gt;0),TRUE()),IF(X45&gt;0,AND(Y45&lt;&gt;"",Z45&gt;0),TRUE()),IF(AB45&gt;0,AND(AC45&lt;&gt;"",AD45&gt;0),TRUE()),OR(BM45="",BM45="Активна")),"Да","Нет")</f>
        <v>Нет</v>
      </c>
      <c r="BA45" s="25" t="str">
        <f t="shared" si="32"/>
        <v>Нет</v>
      </c>
      <c r="BB45" s="25" t="str">
        <f t="shared" si="33"/>
        <v/>
      </c>
      <c r="BC45" s="25" t="str">
        <f t="shared" si="34"/>
        <v/>
      </c>
      <c r="BD45" s="25" t="str">
        <f t="shared" si="35"/>
        <v/>
      </c>
      <c r="BE45" s="25" t="str">
        <f>IF(A45="","",IF(BZ45&lt;&gt;"ПОЛНО","BLOCK: неполная форма",IF(O45&lt;&gt;"Да","BLOCK: ввоз не разрешён",IF(P45&lt;&gt;"Да","BLOCK: документы не подтверждены",IF(ABS(AN45-1)&gt;'03_Настройки'!$B$5,"BLOCK: платежи не 100%",IF(AND(BM45&lt;&gt;"",BM45&lt;&gt;"Активна"),"BLOCK: позиция "&amp;BM45,IF(BA45&lt;&gt;"Да","PARTIAL: не покрывает потребность",IF(BB45="ДА","самый дешёвый"&amp;IF(BC45="ДА"," + быстрый","")&amp;IF(BD45="ДА"," + optimal",""),IF(BC45="ДА","самый быстрый"&amp;IF(BD45="ДА"," + optimal",""),IF(BD45="ДА","optimal","Допущен"))))))))))</f>
        <v/>
      </c>
      <c r="BF45" s="25">
        <f>ROW()</f>
        <v>45</v>
      </c>
      <c r="BG45" s="33"/>
      <c r="BH45" s="33"/>
      <c r="BI45" s="33"/>
      <c r="BJ45" s="33"/>
      <c r="BK45" s="33"/>
      <c r="BL45" s="34"/>
      <c r="BM45" s="33"/>
      <c r="BN45" s="35" t="str">
        <f t="shared" si="36"/>
        <v/>
      </c>
      <c r="BO45" s="36" t="str">
        <f t="shared" si="37"/>
        <v/>
      </c>
      <c r="BP45" s="33"/>
      <c r="BQ45" s="38"/>
      <c r="BR45" s="13"/>
      <c r="BS45" s="13"/>
      <c r="BT45" s="13"/>
      <c r="BU45" s="13"/>
      <c r="BV45" s="13"/>
      <c r="BW45" s="13"/>
      <c r="BX45" s="39" t="str">
        <f t="shared" si="38"/>
        <v/>
      </c>
      <c r="BY45" s="47"/>
      <c r="BZ45" s="48" t="str">
        <f t="shared" si="39"/>
        <v/>
      </c>
      <c r="CA45" s="47"/>
      <c r="CB45" s="47"/>
      <c r="CC45" s="47"/>
    </row>
    <row r="46" spans="1:81" ht="14.25" x14ac:dyDescent="0.45">
      <c r="A46" s="10"/>
      <c r="B46" s="10"/>
      <c r="C46" s="10"/>
      <c r="D46" s="10"/>
      <c r="E46" s="10"/>
      <c r="F46" s="10"/>
      <c r="G46" s="10"/>
      <c r="H46" s="25" t="str">
        <f>IFERROR(VLOOKUP(C46,'01_Поставщики'!$A$4:$M$11,2,FALSE()),"")</f>
        <v/>
      </c>
      <c r="I46" s="10"/>
      <c r="J46" s="25" t="str">
        <f>IFERROR(VLOOKUP(C46,'01_Поставщики'!$A$4:$M$11,8,FALSE()),"")</f>
        <v/>
      </c>
      <c r="K46" s="25" t="str">
        <f>IFERROR(VLOOKUP(C46,'01_Поставщики'!$A$4:$M$11,4,FALSE()),"")</f>
        <v/>
      </c>
      <c r="L46" s="25" t="str">
        <f>IFERROR(VLOOKUP(C46,'01_Поставщики'!$A$4:$M$11,10,FALSE()),"")</f>
        <v/>
      </c>
      <c r="M46" s="26" t="str">
        <f>IF(OR(A46="",B46=""),"",IFERROR(SUMIFS('04_Потребность'!$B$4:$B$103,'04_Потребность'!$A$4:$A$103,A46,'04_Потребность'!$C$4:$C$103,B46),0))</f>
        <v/>
      </c>
      <c r="N46" s="11"/>
      <c r="O46" s="10"/>
      <c r="P46" s="10"/>
      <c r="Q46" s="27"/>
      <c r="R46" s="27"/>
      <c r="S46" s="8"/>
      <c r="T46" s="8">
        <f>IFERROR(INDEX('02_Схемы оплаты'!$C$4:$C$19,MATCH($C46&amp;"|"&amp;$G46,'02_Схемы оплаты'!$H$4:$H$19,0)),0)</f>
        <v>0</v>
      </c>
      <c r="U46" s="11"/>
      <c r="V46" s="28"/>
      <c r="W46" s="8"/>
      <c r="X46" s="8">
        <f>IFERROR(INDEX('02_Схемы оплаты'!$D$4:$D$19,MATCH($C46&amp;"|"&amp;$G46,'02_Схемы оплаты'!$H$4:$H$19,0)),0)</f>
        <v>0</v>
      </c>
      <c r="Y46" s="11"/>
      <c r="Z46" s="28"/>
      <c r="AA46" s="8"/>
      <c r="AB46" s="8">
        <f>IFERROR(INDEX('02_Схемы оплаты'!$E$4:$E$19,MATCH($C46&amp;"|"&amp;$G46,'02_Схемы оплаты'!$H$4:$H$19,0)),0)</f>
        <v>0</v>
      </c>
      <c r="AC46" s="11"/>
      <c r="AD46" s="28"/>
      <c r="AE46" s="8"/>
      <c r="AF46" s="10"/>
      <c r="AG46" s="10"/>
      <c r="AH46" s="25">
        <f>IFERROR(SUMIFS('04_Потребность'!$D$4:$D$103,'04_Потребность'!$A$4:$A$103,A46,'04_Потребность'!$C$4:$C$103,B46),0)</f>
        <v>0</v>
      </c>
      <c r="AI46" s="26" t="str">
        <f>IF(OR(A46="",B46=""),"",IFERROR(SUMIFS('04_Потребность'!$E$4:$E$103,'04_Потребность'!$A$4:$A$103,A46,'04_Потребность'!$C$4:$C$103,B46),0))</f>
        <v/>
      </c>
      <c r="AJ46" s="25" t="str">
        <f>IF(OR(A46="",B46=""),"",IFERROR(SUMIFS('04_Потребность'!$F$4:$F$103,'04_Потребность'!$A$4:$A$103,A46,'04_Потребность'!$C$4:$C$103,B46),0))</f>
        <v/>
      </c>
      <c r="AK46" s="29" t="str">
        <f>IF(OR(A46="",B46=""),"",IFERROR(SUMIFS('04_Потребность'!$G$4:$G$103,'04_Потребность'!$A$4:$A$103,A46,'04_Потребность'!$C$4:$C$103,B46),0))</f>
        <v/>
      </c>
      <c r="AL46" s="25" t="str">
        <f>IF('03_Настройки'!$B$7="Нет","Нет",IF(COUNTIFS('04_Потребность'!$A$4:$A$103,A46,'04_Потребность'!$C$4:$C$103,B46,'04_Потребность'!$H$4:$H$103,"Да")&gt;0,"Да","Нет"))</f>
        <v>Нет</v>
      </c>
      <c r="AM46" s="30">
        <f t="shared" si="20"/>
        <v>0</v>
      </c>
      <c r="AN46" s="30">
        <f t="shared" si="21"/>
        <v>0</v>
      </c>
      <c r="AO46" s="29">
        <f t="shared" si="22"/>
        <v>0</v>
      </c>
      <c r="AP46" s="29">
        <f t="shared" si="23"/>
        <v>0</v>
      </c>
      <c r="AQ46" s="29">
        <f t="shared" si="24"/>
        <v>0</v>
      </c>
      <c r="AR46" s="29">
        <f>IFERROR(E46*'03_Настройки'!$B$4/365*(IF(T46&gt;0,T46*V46*(1+W46)*MAX(0,N46-U46),0)+IF(X46&gt;0,X46*Z46*(1+AA46)*MAX(0,N46-Y46),0)+IF(AB46&gt;0,AB46*AD46*(1+AE46)*MAX(0,N46-AC46),0)),0)</f>
        <v>0</v>
      </c>
      <c r="AS46" s="29">
        <f t="shared" si="25"/>
        <v>0</v>
      </c>
      <c r="AT46" s="31">
        <f t="shared" si="26"/>
        <v>0</v>
      </c>
      <c r="AU46" s="31">
        <f t="shared" si="27"/>
        <v>0</v>
      </c>
      <c r="AV46" s="32">
        <f t="shared" si="28"/>
        <v>0</v>
      </c>
      <c r="AW46" s="29" t="e">
        <f t="shared" si="29"/>
        <v>#VALUE!</v>
      </c>
      <c r="AX46" s="29">
        <f t="shared" si="30"/>
        <v>0</v>
      </c>
      <c r="AY46" s="29" t="e">
        <f t="shared" si="31"/>
        <v>#VALUE!</v>
      </c>
      <c r="AZ46" s="25" t="str">
        <f>IF(AND(A46&lt;&gt;"",B46&lt;&gt;"",C46&lt;&gt;"",D46&gt;0,E46&gt;0,N46&lt;&gt;"",AH46&gt;0,O46="Да",P46="Да",BZ46="ПОЛНО",ABS(AN46-1)&lt;='03_Настройки'!$B$5,IF(T46&gt;0,AND(U46&lt;&gt;"",V46&gt;0),TRUE()),IF(X46&gt;0,AND(Y46&lt;&gt;"",Z46&gt;0),TRUE()),IF(AB46&gt;0,AND(AC46&lt;&gt;"",AD46&gt;0),TRUE()),OR(BM46="",BM46="Активна")),"Да","Нет")</f>
        <v>Нет</v>
      </c>
      <c r="BA46" s="25" t="str">
        <f t="shared" si="32"/>
        <v>Нет</v>
      </c>
      <c r="BB46" s="25" t="str">
        <f t="shared" si="33"/>
        <v/>
      </c>
      <c r="BC46" s="25" t="str">
        <f t="shared" si="34"/>
        <v/>
      </c>
      <c r="BD46" s="25" t="str">
        <f t="shared" si="35"/>
        <v/>
      </c>
      <c r="BE46" s="25" t="str">
        <f>IF(A46="","",IF(BZ46&lt;&gt;"ПОЛНО","BLOCK: неполная форма",IF(O46&lt;&gt;"Да","BLOCK: ввоз не разрешён",IF(P46&lt;&gt;"Да","BLOCK: документы не подтверждены",IF(ABS(AN46-1)&gt;'03_Настройки'!$B$5,"BLOCK: платежи не 100%",IF(AND(BM46&lt;&gt;"",BM46&lt;&gt;"Активна"),"BLOCK: позиция "&amp;BM46,IF(BA46&lt;&gt;"Да","PARTIAL: не покрывает потребность",IF(BB46="ДА","самый дешёвый"&amp;IF(BC46="ДА"," + быстрый","")&amp;IF(BD46="ДА"," + optimal",""),IF(BC46="ДА","самый быстрый"&amp;IF(BD46="ДА"," + optimal",""),IF(BD46="ДА","optimal","Допущен"))))))))))</f>
        <v/>
      </c>
      <c r="BF46" s="25">
        <f>ROW()</f>
        <v>46</v>
      </c>
      <c r="BG46" s="33"/>
      <c r="BH46" s="33"/>
      <c r="BI46" s="33"/>
      <c r="BJ46" s="33"/>
      <c r="BK46" s="33"/>
      <c r="BL46" s="34"/>
      <c r="BM46" s="33"/>
      <c r="BN46" s="35" t="str">
        <f t="shared" si="36"/>
        <v/>
      </c>
      <c r="BO46" s="36" t="str">
        <f t="shared" si="37"/>
        <v/>
      </c>
      <c r="BP46" s="33"/>
      <c r="BQ46" s="38"/>
      <c r="BR46" s="13"/>
      <c r="BS46" s="13"/>
      <c r="BT46" s="13"/>
      <c r="BU46" s="13"/>
      <c r="BV46" s="13"/>
      <c r="BW46" s="13"/>
      <c r="BX46" s="39" t="str">
        <f t="shared" si="38"/>
        <v/>
      </c>
      <c r="BY46" s="47"/>
      <c r="BZ46" s="48" t="str">
        <f t="shared" si="39"/>
        <v/>
      </c>
      <c r="CA46" s="47"/>
      <c r="CB46" s="47"/>
      <c r="CC46" s="47"/>
    </row>
    <row r="47" spans="1:81" ht="14.25" x14ac:dyDescent="0.45">
      <c r="A47" s="10"/>
      <c r="B47" s="10"/>
      <c r="C47" s="10"/>
      <c r="D47" s="10"/>
      <c r="E47" s="10"/>
      <c r="F47" s="10"/>
      <c r="G47" s="10"/>
      <c r="H47" s="25" t="str">
        <f>IFERROR(VLOOKUP(C47,'01_Поставщики'!$A$4:$M$11,2,FALSE()),"")</f>
        <v/>
      </c>
      <c r="I47" s="10"/>
      <c r="J47" s="25" t="str">
        <f>IFERROR(VLOOKUP(C47,'01_Поставщики'!$A$4:$M$11,8,FALSE()),"")</f>
        <v/>
      </c>
      <c r="K47" s="25" t="str">
        <f>IFERROR(VLOOKUP(C47,'01_Поставщики'!$A$4:$M$11,4,FALSE()),"")</f>
        <v/>
      </c>
      <c r="L47" s="25" t="str">
        <f>IFERROR(VLOOKUP(C47,'01_Поставщики'!$A$4:$M$11,10,FALSE()),"")</f>
        <v/>
      </c>
      <c r="M47" s="26" t="str">
        <f>IF(OR(A47="",B47=""),"",IFERROR(SUMIFS('04_Потребность'!$B$4:$B$103,'04_Потребность'!$A$4:$A$103,A47,'04_Потребность'!$C$4:$C$103,B47),0))</f>
        <v/>
      </c>
      <c r="N47" s="11"/>
      <c r="O47" s="10"/>
      <c r="P47" s="10"/>
      <c r="Q47" s="27"/>
      <c r="R47" s="27"/>
      <c r="S47" s="8"/>
      <c r="T47" s="8">
        <f>IFERROR(INDEX('02_Схемы оплаты'!$C$4:$C$19,MATCH($C47&amp;"|"&amp;$G47,'02_Схемы оплаты'!$H$4:$H$19,0)),0)</f>
        <v>0</v>
      </c>
      <c r="U47" s="11"/>
      <c r="V47" s="28"/>
      <c r="W47" s="8"/>
      <c r="X47" s="8">
        <f>IFERROR(INDEX('02_Схемы оплаты'!$D$4:$D$19,MATCH($C47&amp;"|"&amp;$G47,'02_Схемы оплаты'!$H$4:$H$19,0)),0)</f>
        <v>0</v>
      </c>
      <c r="Y47" s="11"/>
      <c r="Z47" s="28"/>
      <c r="AA47" s="8"/>
      <c r="AB47" s="8">
        <f>IFERROR(INDEX('02_Схемы оплаты'!$E$4:$E$19,MATCH($C47&amp;"|"&amp;$G47,'02_Схемы оплаты'!$H$4:$H$19,0)),0)</f>
        <v>0</v>
      </c>
      <c r="AC47" s="11"/>
      <c r="AD47" s="28"/>
      <c r="AE47" s="8"/>
      <c r="AF47" s="10"/>
      <c r="AG47" s="10"/>
      <c r="AH47" s="25">
        <f>IFERROR(SUMIFS('04_Потребность'!$D$4:$D$103,'04_Потребность'!$A$4:$A$103,A47,'04_Потребность'!$C$4:$C$103,B47),0)</f>
        <v>0</v>
      </c>
      <c r="AI47" s="26" t="str">
        <f>IF(OR(A47="",B47=""),"",IFERROR(SUMIFS('04_Потребность'!$E$4:$E$103,'04_Потребность'!$A$4:$A$103,A47,'04_Потребность'!$C$4:$C$103,B47),0))</f>
        <v/>
      </c>
      <c r="AJ47" s="25" t="str">
        <f>IF(OR(A47="",B47=""),"",IFERROR(SUMIFS('04_Потребность'!$F$4:$F$103,'04_Потребность'!$A$4:$A$103,A47,'04_Потребность'!$C$4:$C$103,B47),0))</f>
        <v/>
      </c>
      <c r="AK47" s="29" t="str">
        <f>IF(OR(A47="",B47=""),"",IFERROR(SUMIFS('04_Потребность'!$G$4:$G$103,'04_Потребность'!$A$4:$A$103,A47,'04_Потребность'!$C$4:$C$103,B47),0))</f>
        <v/>
      </c>
      <c r="AL47" s="25" t="str">
        <f>IF('03_Настройки'!$B$7="Нет","Нет",IF(COUNTIFS('04_Потребность'!$A$4:$A$103,A47,'04_Потребность'!$C$4:$C$103,B47,'04_Потребность'!$H$4:$H$103,"Да")&gt;0,"Да","Нет"))</f>
        <v>Нет</v>
      </c>
      <c r="AM47" s="30">
        <f t="shared" si="20"/>
        <v>0</v>
      </c>
      <c r="AN47" s="30">
        <f t="shared" si="21"/>
        <v>0</v>
      </c>
      <c r="AO47" s="29">
        <f t="shared" si="22"/>
        <v>0</v>
      </c>
      <c r="AP47" s="29">
        <f t="shared" si="23"/>
        <v>0</v>
      </c>
      <c r="AQ47" s="29">
        <f t="shared" si="24"/>
        <v>0</v>
      </c>
      <c r="AR47" s="29">
        <f>IFERROR(E47*'03_Настройки'!$B$4/365*(IF(T47&gt;0,T47*V47*(1+W47)*MAX(0,N47-U47),0)+IF(X47&gt;0,X47*Z47*(1+AA47)*MAX(0,N47-Y47),0)+IF(AB47&gt;0,AB47*AD47*(1+AE47)*MAX(0,N47-AC47),0)),0)</f>
        <v>0</v>
      </c>
      <c r="AS47" s="29">
        <f t="shared" si="25"/>
        <v>0</v>
      </c>
      <c r="AT47" s="31">
        <f t="shared" si="26"/>
        <v>0</v>
      </c>
      <c r="AU47" s="31">
        <f t="shared" si="27"/>
        <v>0</v>
      </c>
      <c r="AV47" s="32">
        <f t="shared" si="28"/>
        <v>0</v>
      </c>
      <c r="AW47" s="29" t="e">
        <f t="shared" si="29"/>
        <v>#VALUE!</v>
      </c>
      <c r="AX47" s="29">
        <f t="shared" si="30"/>
        <v>0</v>
      </c>
      <c r="AY47" s="29" t="e">
        <f t="shared" si="31"/>
        <v>#VALUE!</v>
      </c>
      <c r="AZ47" s="25" t="str">
        <f>IF(AND(A47&lt;&gt;"",B47&lt;&gt;"",C47&lt;&gt;"",D47&gt;0,E47&gt;0,N47&lt;&gt;"",AH47&gt;0,O47="Да",P47="Да",BZ47="ПОЛНО",ABS(AN47-1)&lt;='03_Настройки'!$B$5,IF(T47&gt;0,AND(U47&lt;&gt;"",V47&gt;0),TRUE()),IF(X47&gt;0,AND(Y47&lt;&gt;"",Z47&gt;0),TRUE()),IF(AB47&gt;0,AND(AC47&lt;&gt;"",AD47&gt;0),TRUE()),OR(BM47="",BM47="Активна")),"Да","Нет")</f>
        <v>Нет</v>
      </c>
      <c r="BA47" s="25" t="str">
        <f t="shared" si="32"/>
        <v>Нет</v>
      </c>
      <c r="BB47" s="25" t="str">
        <f t="shared" si="33"/>
        <v/>
      </c>
      <c r="BC47" s="25" t="str">
        <f t="shared" si="34"/>
        <v/>
      </c>
      <c r="BD47" s="25" t="str">
        <f t="shared" si="35"/>
        <v/>
      </c>
      <c r="BE47" s="25" t="str">
        <f>IF(A47="","",IF(BZ47&lt;&gt;"ПОЛНО","BLOCK: неполная форма",IF(O47&lt;&gt;"Да","BLOCK: ввоз не разрешён",IF(P47&lt;&gt;"Да","BLOCK: документы не подтверждены",IF(ABS(AN47-1)&gt;'03_Настройки'!$B$5,"BLOCK: платежи не 100%",IF(AND(BM47&lt;&gt;"",BM47&lt;&gt;"Активна"),"BLOCK: позиция "&amp;BM47,IF(BA47&lt;&gt;"Да","PARTIAL: не покрывает потребность",IF(BB47="ДА","самый дешёвый"&amp;IF(BC47="ДА"," + быстрый","")&amp;IF(BD47="ДА"," + optimal",""),IF(BC47="ДА","самый быстрый"&amp;IF(BD47="ДА"," + optimal",""),IF(BD47="ДА","optimal","Допущен"))))))))))</f>
        <v/>
      </c>
      <c r="BF47" s="25">
        <f>ROW()</f>
        <v>47</v>
      </c>
      <c r="BG47" s="33"/>
      <c r="BH47" s="33"/>
      <c r="BI47" s="33"/>
      <c r="BJ47" s="33"/>
      <c r="BK47" s="33"/>
      <c r="BL47" s="34"/>
      <c r="BM47" s="33"/>
      <c r="BN47" s="35" t="str">
        <f t="shared" si="36"/>
        <v/>
      </c>
      <c r="BO47" s="36" t="str">
        <f t="shared" si="37"/>
        <v/>
      </c>
      <c r="BP47" s="33"/>
      <c r="BQ47" s="38"/>
      <c r="BR47" s="13"/>
      <c r="BS47" s="13"/>
      <c r="BT47" s="13"/>
      <c r="BU47" s="13"/>
      <c r="BV47" s="13"/>
      <c r="BW47" s="13"/>
      <c r="BX47" s="39" t="str">
        <f t="shared" si="38"/>
        <v/>
      </c>
      <c r="BY47" s="47"/>
      <c r="BZ47" s="48" t="str">
        <f t="shared" si="39"/>
        <v/>
      </c>
      <c r="CA47" s="47"/>
      <c r="CB47" s="47"/>
      <c r="CC47" s="47"/>
    </row>
    <row r="48" spans="1:81" ht="14.25" x14ac:dyDescent="0.45">
      <c r="A48" s="10"/>
      <c r="B48" s="10"/>
      <c r="C48" s="10"/>
      <c r="D48" s="10"/>
      <c r="E48" s="10"/>
      <c r="F48" s="10"/>
      <c r="G48" s="10"/>
      <c r="H48" s="25" t="str">
        <f>IFERROR(VLOOKUP(C48,'01_Поставщики'!$A$4:$M$11,2,FALSE()),"")</f>
        <v/>
      </c>
      <c r="I48" s="10"/>
      <c r="J48" s="25" t="str">
        <f>IFERROR(VLOOKUP(C48,'01_Поставщики'!$A$4:$M$11,8,FALSE()),"")</f>
        <v/>
      </c>
      <c r="K48" s="25" t="str">
        <f>IFERROR(VLOOKUP(C48,'01_Поставщики'!$A$4:$M$11,4,FALSE()),"")</f>
        <v/>
      </c>
      <c r="L48" s="25" t="str">
        <f>IFERROR(VLOOKUP(C48,'01_Поставщики'!$A$4:$M$11,10,FALSE()),"")</f>
        <v/>
      </c>
      <c r="M48" s="26" t="str">
        <f>IF(OR(A48="",B48=""),"",IFERROR(SUMIFS('04_Потребность'!$B$4:$B$103,'04_Потребность'!$A$4:$A$103,A48,'04_Потребность'!$C$4:$C$103,B48),0))</f>
        <v/>
      </c>
      <c r="N48" s="11"/>
      <c r="O48" s="10"/>
      <c r="P48" s="10"/>
      <c r="Q48" s="27"/>
      <c r="R48" s="27"/>
      <c r="S48" s="8"/>
      <c r="T48" s="8">
        <f>IFERROR(INDEX('02_Схемы оплаты'!$C$4:$C$19,MATCH($C48&amp;"|"&amp;$G48,'02_Схемы оплаты'!$H$4:$H$19,0)),0)</f>
        <v>0</v>
      </c>
      <c r="U48" s="11"/>
      <c r="V48" s="28"/>
      <c r="W48" s="8"/>
      <c r="X48" s="8">
        <f>IFERROR(INDEX('02_Схемы оплаты'!$D$4:$D$19,MATCH($C48&amp;"|"&amp;$G48,'02_Схемы оплаты'!$H$4:$H$19,0)),0)</f>
        <v>0</v>
      </c>
      <c r="Y48" s="11"/>
      <c r="Z48" s="28"/>
      <c r="AA48" s="8"/>
      <c r="AB48" s="8">
        <f>IFERROR(INDEX('02_Схемы оплаты'!$E$4:$E$19,MATCH($C48&amp;"|"&amp;$G48,'02_Схемы оплаты'!$H$4:$H$19,0)),0)</f>
        <v>0</v>
      </c>
      <c r="AC48" s="11"/>
      <c r="AD48" s="28"/>
      <c r="AE48" s="8"/>
      <c r="AF48" s="10"/>
      <c r="AG48" s="10"/>
      <c r="AH48" s="25">
        <f>IFERROR(SUMIFS('04_Потребность'!$D$4:$D$103,'04_Потребность'!$A$4:$A$103,A48,'04_Потребность'!$C$4:$C$103,B48),0)</f>
        <v>0</v>
      </c>
      <c r="AI48" s="26" t="str">
        <f>IF(OR(A48="",B48=""),"",IFERROR(SUMIFS('04_Потребность'!$E$4:$E$103,'04_Потребность'!$A$4:$A$103,A48,'04_Потребность'!$C$4:$C$103,B48),0))</f>
        <v/>
      </c>
      <c r="AJ48" s="25" t="str">
        <f>IF(OR(A48="",B48=""),"",IFERROR(SUMIFS('04_Потребность'!$F$4:$F$103,'04_Потребность'!$A$4:$A$103,A48,'04_Потребность'!$C$4:$C$103,B48),0))</f>
        <v/>
      </c>
      <c r="AK48" s="29" t="str">
        <f>IF(OR(A48="",B48=""),"",IFERROR(SUMIFS('04_Потребность'!$G$4:$G$103,'04_Потребность'!$A$4:$A$103,A48,'04_Потребность'!$C$4:$C$103,B48),0))</f>
        <v/>
      </c>
      <c r="AL48" s="25" t="str">
        <f>IF('03_Настройки'!$B$7="Нет","Нет",IF(COUNTIFS('04_Потребность'!$A$4:$A$103,A48,'04_Потребность'!$C$4:$C$103,B48,'04_Потребность'!$H$4:$H$103,"Да")&gt;0,"Да","Нет"))</f>
        <v>Нет</v>
      </c>
      <c r="AM48" s="30">
        <f t="shared" si="20"/>
        <v>0</v>
      </c>
      <c r="AN48" s="30">
        <f t="shared" si="21"/>
        <v>0</v>
      </c>
      <c r="AO48" s="29">
        <f t="shared" si="22"/>
        <v>0</v>
      </c>
      <c r="AP48" s="29">
        <f t="shared" si="23"/>
        <v>0</v>
      </c>
      <c r="AQ48" s="29">
        <f t="shared" si="24"/>
        <v>0</v>
      </c>
      <c r="AR48" s="29">
        <f>IFERROR(E48*'03_Настройки'!$B$4/365*(IF(T48&gt;0,T48*V48*(1+W48)*MAX(0,N48-U48),0)+IF(X48&gt;0,X48*Z48*(1+AA48)*MAX(0,N48-Y48),0)+IF(AB48&gt;0,AB48*AD48*(1+AE48)*MAX(0,N48-AC48),0)),0)</f>
        <v>0</v>
      </c>
      <c r="AS48" s="29">
        <f t="shared" si="25"/>
        <v>0</v>
      </c>
      <c r="AT48" s="31">
        <f t="shared" si="26"/>
        <v>0</v>
      </c>
      <c r="AU48" s="31">
        <f t="shared" si="27"/>
        <v>0</v>
      </c>
      <c r="AV48" s="32">
        <f t="shared" si="28"/>
        <v>0</v>
      </c>
      <c r="AW48" s="29" t="e">
        <f t="shared" si="29"/>
        <v>#VALUE!</v>
      </c>
      <c r="AX48" s="29">
        <f t="shared" si="30"/>
        <v>0</v>
      </c>
      <c r="AY48" s="29" t="e">
        <f t="shared" si="31"/>
        <v>#VALUE!</v>
      </c>
      <c r="AZ48" s="25" t="str">
        <f>IF(AND(A48&lt;&gt;"",B48&lt;&gt;"",C48&lt;&gt;"",D48&gt;0,E48&gt;0,N48&lt;&gt;"",AH48&gt;0,O48="Да",P48="Да",BZ48="ПОЛНО",ABS(AN48-1)&lt;='03_Настройки'!$B$5,IF(T48&gt;0,AND(U48&lt;&gt;"",V48&gt;0),TRUE()),IF(X48&gt;0,AND(Y48&lt;&gt;"",Z48&gt;0),TRUE()),IF(AB48&gt;0,AND(AC48&lt;&gt;"",AD48&gt;0),TRUE()),OR(BM48="",BM48="Активна")),"Да","Нет")</f>
        <v>Нет</v>
      </c>
      <c r="BA48" s="25" t="str">
        <f t="shared" si="32"/>
        <v>Нет</v>
      </c>
      <c r="BB48" s="25" t="str">
        <f t="shared" si="33"/>
        <v/>
      </c>
      <c r="BC48" s="25" t="str">
        <f t="shared" si="34"/>
        <v/>
      </c>
      <c r="BD48" s="25" t="str">
        <f t="shared" si="35"/>
        <v/>
      </c>
      <c r="BE48" s="25" t="str">
        <f>IF(A48="","",IF(BZ48&lt;&gt;"ПОЛНО","BLOCK: неполная форма",IF(O48&lt;&gt;"Да","BLOCK: ввоз не разрешён",IF(P48&lt;&gt;"Да","BLOCK: документы не подтверждены",IF(ABS(AN48-1)&gt;'03_Настройки'!$B$5,"BLOCK: платежи не 100%",IF(AND(BM48&lt;&gt;"",BM48&lt;&gt;"Активна"),"BLOCK: позиция "&amp;BM48,IF(BA48&lt;&gt;"Да","PARTIAL: не покрывает потребность",IF(BB48="ДА","самый дешёвый"&amp;IF(BC48="ДА"," + быстрый","")&amp;IF(BD48="ДА"," + optimal",""),IF(BC48="ДА","самый быстрый"&amp;IF(BD48="ДА"," + optimal",""),IF(BD48="ДА","optimal","Допущен"))))))))))</f>
        <v/>
      </c>
      <c r="BF48" s="25">
        <f>ROW()</f>
        <v>48</v>
      </c>
      <c r="BG48" s="33"/>
      <c r="BH48" s="33"/>
      <c r="BI48" s="33"/>
      <c r="BJ48" s="33"/>
      <c r="BK48" s="33"/>
      <c r="BL48" s="34"/>
      <c r="BM48" s="33"/>
      <c r="BN48" s="35" t="str">
        <f t="shared" si="36"/>
        <v/>
      </c>
      <c r="BO48" s="36" t="str">
        <f t="shared" si="37"/>
        <v/>
      </c>
      <c r="BP48" s="33"/>
      <c r="BQ48" s="38"/>
      <c r="BR48" s="13"/>
      <c r="BS48" s="13"/>
      <c r="BT48" s="13"/>
      <c r="BU48" s="13"/>
      <c r="BV48" s="13"/>
      <c r="BW48" s="13"/>
      <c r="BX48" s="39" t="str">
        <f t="shared" si="38"/>
        <v/>
      </c>
      <c r="BY48" s="47"/>
      <c r="BZ48" s="48" t="str">
        <f t="shared" si="39"/>
        <v/>
      </c>
      <c r="CA48" s="47"/>
      <c r="CB48" s="47"/>
      <c r="CC48" s="47"/>
    </row>
    <row r="49" spans="1:81" ht="14.25" x14ac:dyDescent="0.45">
      <c r="A49" s="10"/>
      <c r="B49" s="10"/>
      <c r="C49" s="10"/>
      <c r="D49" s="10"/>
      <c r="E49" s="10"/>
      <c r="F49" s="10"/>
      <c r="G49" s="10"/>
      <c r="H49" s="25" t="str">
        <f>IFERROR(VLOOKUP(C49,'01_Поставщики'!$A$4:$M$11,2,FALSE()),"")</f>
        <v/>
      </c>
      <c r="I49" s="10"/>
      <c r="J49" s="25" t="str">
        <f>IFERROR(VLOOKUP(C49,'01_Поставщики'!$A$4:$M$11,8,FALSE()),"")</f>
        <v/>
      </c>
      <c r="K49" s="25" t="str">
        <f>IFERROR(VLOOKUP(C49,'01_Поставщики'!$A$4:$M$11,4,FALSE()),"")</f>
        <v/>
      </c>
      <c r="L49" s="25" t="str">
        <f>IFERROR(VLOOKUP(C49,'01_Поставщики'!$A$4:$M$11,10,FALSE()),"")</f>
        <v/>
      </c>
      <c r="M49" s="26" t="str">
        <f>IF(OR(A49="",B49=""),"",IFERROR(SUMIFS('04_Потребность'!$B$4:$B$103,'04_Потребность'!$A$4:$A$103,A49,'04_Потребность'!$C$4:$C$103,B49),0))</f>
        <v/>
      </c>
      <c r="N49" s="11"/>
      <c r="O49" s="10"/>
      <c r="P49" s="10"/>
      <c r="Q49" s="27"/>
      <c r="R49" s="27"/>
      <c r="S49" s="8"/>
      <c r="T49" s="8">
        <f>IFERROR(INDEX('02_Схемы оплаты'!$C$4:$C$19,MATCH($C49&amp;"|"&amp;$G49,'02_Схемы оплаты'!$H$4:$H$19,0)),0)</f>
        <v>0</v>
      </c>
      <c r="U49" s="11"/>
      <c r="V49" s="28"/>
      <c r="W49" s="8"/>
      <c r="X49" s="8">
        <f>IFERROR(INDEX('02_Схемы оплаты'!$D$4:$D$19,MATCH($C49&amp;"|"&amp;$G49,'02_Схемы оплаты'!$H$4:$H$19,0)),0)</f>
        <v>0</v>
      </c>
      <c r="Y49" s="11"/>
      <c r="Z49" s="28"/>
      <c r="AA49" s="8"/>
      <c r="AB49" s="8">
        <f>IFERROR(INDEX('02_Схемы оплаты'!$E$4:$E$19,MATCH($C49&amp;"|"&amp;$G49,'02_Схемы оплаты'!$H$4:$H$19,0)),0)</f>
        <v>0</v>
      </c>
      <c r="AC49" s="11"/>
      <c r="AD49" s="28"/>
      <c r="AE49" s="8"/>
      <c r="AF49" s="10"/>
      <c r="AG49" s="10"/>
      <c r="AH49" s="25">
        <f>IFERROR(SUMIFS('04_Потребность'!$D$4:$D$103,'04_Потребность'!$A$4:$A$103,A49,'04_Потребность'!$C$4:$C$103,B49),0)</f>
        <v>0</v>
      </c>
      <c r="AI49" s="26" t="str">
        <f>IF(OR(A49="",B49=""),"",IFERROR(SUMIFS('04_Потребность'!$E$4:$E$103,'04_Потребность'!$A$4:$A$103,A49,'04_Потребность'!$C$4:$C$103,B49),0))</f>
        <v/>
      </c>
      <c r="AJ49" s="25" t="str">
        <f>IF(OR(A49="",B49=""),"",IFERROR(SUMIFS('04_Потребность'!$F$4:$F$103,'04_Потребность'!$A$4:$A$103,A49,'04_Потребность'!$C$4:$C$103,B49),0))</f>
        <v/>
      </c>
      <c r="AK49" s="29" t="str">
        <f>IF(OR(A49="",B49=""),"",IFERROR(SUMIFS('04_Потребность'!$G$4:$G$103,'04_Потребность'!$A$4:$A$103,A49,'04_Потребность'!$C$4:$C$103,B49),0))</f>
        <v/>
      </c>
      <c r="AL49" s="25" t="str">
        <f>IF('03_Настройки'!$B$7="Нет","Нет",IF(COUNTIFS('04_Потребность'!$A$4:$A$103,A49,'04_Потребность'!$C$4:$C$103,B49,'04_Потребность'!$H$4:$H$103,"Да")&gt;0,"Да","Нет"))</f>
        <v>Нет</v>
      </c>
      <c r="AM49" s="30">
        <f t="shared" si="20"/>
        <v>0</v>
      </c>
      <c r="AN49" s="30">
        <f t="shared" si="21"/>
        <v>0</v>
      </c>
      <c r="AO49" s="29">
        <f t="shared" si="22"/>
        <v>0</v>
      </c>
      <c r="AP49" s="29">
        <f t="shared" si="23"/>
        <v>0</v>
      </c>
      <c r="AQ49" s="29">
        <f t="shared" si="24"/>
        <v>0</v>
      </c>
      <c r="AR49" s="29">
        <f>IFERROR(E49*'03_Настройки'!$B$4/365*(IF(T49&gt;0,T49*V49*(1+W49)*MAX(0,N49-U49),0)+IF(X49&gt;0,X49*Z49*(1+AA49)*MAX(0,N49-Y49),0)+IF(AB49&gt;0,AB49*AD49*(1+AE49)*MAX(0,N49-AC49),0)),0)</f>
        <v>0</v>
      </c>
      <c r="AS49" s="29">
        <f t="shared" si="25"/>
        <v>0</v>
      </c>
      <c r="AT49" s="31">
        <f t="shared" si="26"/>
        <v>0</v>
      </c>
      <c r="AU49" s="31">
        <f t="shared" si="27"/>
        <v>0</v>
      </c>
      <c r="AV49" s="32">
        <f t="shared" si="28"/>
        <v>0</v>
      </c>
      <c r="AW49" s="29" t="e">
        <f t="shared" si="29"/>
        <v>#VALUE!</v>
      </c>
      <c r="AX49" s="29">
        <f t="shared" si="30"/>
        <v>0</v>
      </c>
      <c r="AY49" s="29" t="e">
        <f t="shared" si="31"/>
        <v>#VALUE!</v>
      </c>
      <c r="AZ49" s="25" t="str">
        <f>IF(AND(A49&lt;&gt;"",B49&lt;&gt;"",C49&lt;&gt;"",D49&gt;0,E49&gt;0,N49&lt;&gt;"",AH49&gt;0,O49="Да",P49="Да",BZ49="ПОЛНО",ABS(AN49-1)&lt;='03_Настройки'!$B$5,IF(T49&gt;0,AND(U49&lt;&gt;"",V49&gt;0),TRUE()),IF(X49&gt;0,AND(Y49&lt;&gt;"",Z49&gt;0),TRUE()),IF(AB49&gt;0,AND(AC49&lt;&gt;"",AD49&gt;0),TRUE()),OR(BM49="",BM49="Активна")),"Да","Нет")</f>
        <v>Нет</v>
      </c>
      <c r="BA49" s="25" t="str">
        <f t="shared" si="32"/>
        <v>Нет</v>
      </c>
      <c r="BB49" s="25" t="str">
        <f t="shared" si="33"/>
        <v/>
      </c>
      <c r="BC49" s="25" t="str">
        <f t="shared" si="34"/>
        <v/>
      </c>
      <c r="BD49" s="25" t="str">
        <f t="shared" si="35"/>
        <v/>
      </c>
      <c r="BE49" s="25" t="str">
        <f>IF(A49="","",IF(BZ49&lt;&gt;"ПОЛНО","BLOCK: неполная форма",IF(O49&lt;&gt;"Да","BLOCK: ввоз не разрешён",IF(P49&lt;&gt;"Да","BLOCK: документы не подтверждены",IF(ABS(AN49-1)&gt;'03_Настройки'!$B$5,"BLOCK: платежи не 100%",IF(AND(BM49&lt;&gt;"",BM49&lt;&gt;"Активна"),"BLOCK: позиция "&amp;BM49,IF(BA49&lt;&gt;"Да","PARTIAL: не покрывает потребность",IF(BB49="ДА","самый дешёвый"&amp;IF(BC49="ДА"," + быстрый","")&amp;IF(BD49="ДА"," + optimal",""),IF(BC49="ДА","самый быстрый"&amp;IF(BD49="ДА"," + optimal",""),IF(BD49="ДА","optimal","Допущен"))))))))))</f>
        <v/>
      </c>
      <c r="BF49" s="25">
        <f>ROW()</f>
        <v>49</v>
      </c>
      <c r="BG49" s="33"/>
      <c r="BH49" s="33"/>
      <c r="BI49" s="33"/>
      <c r="BJ49" s="33"/>
      <c r="BK49" s="33"/>
      <c r="BL49" s="34"/>
      <c r="BM49" s="33"/>
      <c r="BN49" s="35" t="str">
        <f t="shared" si="36"/>
        <v/>
      </c>
      <c r="BO49" s="36" t="str">
        <f t="shared" si="37"/>
        <v/>
      </c>
      <c r="BP49" s="33"/>
      <c r="BQ49" s="38"/>
      <c r="BR49" s="13"/>
      <c r="BS49" s="13"/>
      <c r="BT49" s="13"/>
      <c r="BU49" s="13"/>
      <c r="BV49" s="13"/>
      <c r="BW49" s="13"/>
      <c r="BX49" s="39" t="str">
        <f t="shared" si="38"/>
        <v/>
      </c>
      <c r="BY49" s="47"/>
      <c r="BZ49" s="48" t="str">
        <f t="shared" si="39"/>
        <v/>
      </c>
      <c r="CA49" s="47"/>
      <c r="CB49" s="47"/>
      <c r="CC49" s="47"/>
    </row>
    <row r="50" spans="1:81" ht="14.25" x14ac:dyDescent="0.45">
      <c r="A50" s="10"/>
      <c r="B50" s="10"/>
      <c r="C50" s="10"/>
      <c r="D50" s="10"/>
      <c r="E50" s="10"/>
      <c r="F50" s="10"/>
      <c r="G50" s="10"/>
      <c r="H50" s="25" t="str">
        <f>IFERROR(VLOOKUP(C50,'01_Поставщики'!$A$4:$M$11,2,FALSE()),"")</f>
        <v/>
      </c>
      <c r="I50" s="10"/>
      <c r="J50" s="25" t="str">
        <f>IFERROR(VLOOKUP(C50,'01_Поставщики'!$A$4:$M$11,8,FALSE()),"")</f>
        <v/>
      </c>
      <c r="K50" s="25" t="str">
        <f>IFERROR(VLOOKUP(C50,'01_Поставщики'!$A$4:$M$11,4,FALSE()),"")</f>
        <v/>
      </c>
      <c r="L50" s="25" t="str">
        <f>IFERROR(VLOOKUP(C50,'01_Поставщики'!$A$4:$M$11,10,FALSE()),"")</f>
        <v/>
      </c>
      <c r="M50" s="26" t="str">
        <f>IF(OR(A50="",B50=""),"",IFERROR(SUMIFS('04_Потребность'!$B$4:$B$103,'04_Потребность'!$A$4:$A$103,A50,'04_Потребность'!$C$4:$C$103,B50),0))</f>
        <v/>
      </c>
      <c r="N50" s="11"/>
      <c r="O50" s="10"/>
      <c r="P50" s="10"/>
      <c r="Q50" s="27"/>
      <c r="R50" s="27"/>
      <c r="S50" s="8"/>
      <c r="T50" s="8">
        <f>IFERROR(INDEX('02_Схемы оплаты'!$C$4:$C$19,MATCH($C50&amp;"|"&amp;$G50,'02_Схемы оплаты'!$H$4:$H$19,0)),0)</f>
        <v>0</v>
      </c>
      <c r="U50" s="11"/>
      <c r="V50" s="28"/>
      <c r="W50" s="8"/>
      <c r="X50" s="8">
        <f>IFERROR(INDEX('02_Схемы оплаты'!$D$4:$D$19,MATCH($C50&amp;"|"&amp;$G50,'02_Схемы оплаты'!$H$4:$H$19,0)),0)</f>
        <v>0</v>
      </c>
      <c r="Y50" s="11"/>
      <c r="Z50" s="28"/>
      <c r="AA50" s="8"/>
      <c r="AB50" s="8">
        <f>IFERROR(INDEX('02_Схемы оплаты'!$E$4:$E$19,MATCH($C50&amp;"|"&amp;$G50,'02_Схемы оплаты'!$H$4:$H$19,0)),0)</f>
        <v>0</v>
      </c>
      <c r="AC50" s="11"/>
      <c r="AD50" s="28"/>
      <c r="AE50" s="8"/>
      <c r="AF50" s="10"/>
      <c r="AG50" s="10"/>
      <c r="AH50" s="25">
        <f>IFERROR(SUMIFS('04_Потребность'!$D$4:$D$103,'04_Потребность'!$A$4:$A$103,A50,'04_Потребность'!$C$4:$C$103,B50),0)</f>
        <v>0</v>
      </c>
      <c r="AI50" s="26" t="str">
        <f>IF(OR(A50="",B50=""),"",IFERROR(SUMIFS('04_Потребность'!$E$4:$E$103,'04_Потребность'!$A$4:$A$103,A50,'04_Потребность'!$C$4:$C$103,B50),0))</f>
        <v/>
      </c>
      <c r="AJ50" s="25" t="str">
        <f>IF(OR(A50="",B50=""),"",IFERROR(SUMIFS('04_Потребность'!$F$4:$F$103,'04_Потребность'!$A$4:$A$103,A50,'04_Потребность'!$C$4:$C$103,B50),0))</f>
        <v/>
      </c>
      <c r="AK50" s="29" t="str">
        <f>IF(OR(A50="",B50=""),"",IFERROR(SUMIFS('04_Потребность'!$G$4:$G$103,'04_Потребность'!$A$4:$A$103,A50,'04_Потребность'!$C$4:$C$103,B50),0))</f>
        <v/>
      </c>
      <c r="AL50" s="25" t="str">
        <f>IF('03_Настройки'!$B$7="Нет","Нет",IF(COUNTIFS('04_Потребность'!$A$4:$A$103,A50,'04_Потребность'!$C$4:$C$103,B50,'04_Потребность'!$H$4:$H$103,"Да")&gt;0,"Да","Нет"))</f>
        <v>Нет</v>
      </c>
      <c r="AM50" s="30">
        <f t="shared" si="20"/>
        <v>0</v>
      </c>
      <c r="AN50" s="30">
        <f t="shared" si="21"/>
        <v>0</v>
      </c>
      <c r="AO50" s="29">
        <f t="shared" si="22"/>
        <v>0</v>
      </c>
      <c r="AP50" s="29">
        <f t="shared" si="23"/>
        <v>0</v>
      </c>
      <c r="AQ50" s="29">
        <f t="shared" si="24"/>
        <v>0</v>
      </c>
      <c r="AR50" s="29">
        <f>IFERROR(E50*'03_Настройки'!$B$4/365*(IF(T50&gt;0,T50*V50*(1+W50)*MAX(0,N50-U50),0)+IF(X50&gt;0,X50*Z50*(1+AA50)*MAX(0,N50-Y50),0)+IF(AB50&gt;0,AB50*AD50*(1+AE50)*MAX(0,N50-AC50),0)),0)</f>
        <v>0</v>
      </c>
      <c r="AS50" s="29">
        <f t="shared" si="25"/>
        <v>0</v>
      </c>
      <c r="AT50" s="31">
        <f t="shared" si="26"/>
        <v>0</v>
      </c>
      <c r="AU50" s="31">
        <f t="shared" si="27"/>
        <v>0</v>
      </c>
      <c r="AV50" s="32">
        <f t="shared" si="28"/>
        <v>0</v>
      </c>
      <c r="AW50" s="29" t="e">
        <f t="shared" si="29"/>
        <v>#VALUE!</v>
      </c>
      <c r="AX50" s="29">
        <f t="shared" si="30"/>
        <v>0</v>
      </c>
      <c r="AY50" s="29" t="e">
        <f t="shared" si="31"/>
        <v>#VALUE!</v>
      </c>
      <c r="AZ50" s="25" t="str">
        <f>IF(AND(A50&lt;&gt;"",B50&lt;&gt;"",C50&lt;&gt;"",D50&gt;0,E50&gt;0,N50&lt;&gt;"",AH50&gt;0,O50="Да",P50="Да",BZ50="ПОЛНО",ABS(AN50-1)&lt;='03_Настройки'!$B$5,IF(T50&gt;0,AND(U50&lt;&gt;"",V50&gt;0),TRUE()),IF(X50&gt;0,AND(Y50&lt;&gt;"",Z50&gt;0),TRUE()),IF(AB50&gt;0,AND(AC50&lt;&gt;"",AD50&gt;0),TRUE()),OR(BM50="",BM50="Активна")),"Да","Нет")</f>
        <v>Нет</v>
      </c>
      <c r="BA50" s="25" t="str">
        <f t="shared" si="32"/>
        <v>Нет</v>
      </c>
      <c r="BB50" s="25" t="str">
        <f t="shared" si="33"/>
        <v/>
      </c>
      <c r="BC50" s="25" t="str">
        <f t="shared" si="34"/>
        <v/>
      </c>
      <c r="BD50" s="25" t="str">
        <f t="shared" si="35"/>
        <v/>
      </c>
      <c r="BE50" s="25" t="str">
        <f>IF(A50="","",IF(BZ50&lt;&gt;"ПОЛНО","BLOCK: неполная форма",IF(O50&lt;&gt;"Да","BLOCK: ввоз не разрешён",IF(P50&lt;&gt;"Да","BLOCK: документы не подтверждены",IF(ABS(AN50-1)&gt;'03_Настройки'!$B$5,"BLOCK: платежи не 100%",IF(AND(BM50&lt;&gt;"",BM50&lt;&gt;"Активна"),"BLOCK: позиция "&amp;BM50,IF(BA50&lt;&gt;"Да","PARTIAL: не покрывает потребность",IF(BB50="ДА","самый дешёвый"&amp;IF(BC50="ДА"," + быстрый","")&amp;IF(BD50="ДА"," + optimal",""),IF(BC50="ДА","самый быстрый"&amp;IF(BD50="ДА"," + optimal",""),IF(BD50="ДА","optimal","Допущен"))))))))))</f>
        <v/>
      </c>
      <c r="BF50" s="25">
        <f>ROW()</f>
        <v>50</v>
      </c>
      <c r="BG50" s="33"/>
      <c r="BH50" s="33"/>
      <c r="BI50" s="33"/>
      <c r="BJ50" s="33"/>
      <c r="BK50" s="33"/>
      <c r="BL50" s="34"/>
      <c r="BM50" s="33"/>
      <c r="BN50" s="35" t="str">
        <f t="shared" si="36"/>
        <v/>
      </c>
      <c r="BO50" s="36" t="str">
        <f t="shared" si="37"/>
        <v/>
      </c>
      <c r="BP50" s="33"/>
      <c r="BQ50" s="38"/>
      <c r="BR50" s="13"/>
      <c r="BS50" s="13"/>
      <c r="BT50" s="13"/>
      <c r="BU50" s="13"/>
      <c r="BV50" s="13"/>
      <c r="BW50" s="13"/>
      <c r="BX50" s="39" t="str">
        <f t="shared" si="38"/>
        <v/>
      </c>
      <c r="BY50" s="47"/>
      <c r="BZ50" s="48" t="str">
        <f t="shared" si="39"/>
        <v/>
      </c>
      <c r="CA50" s="47"/>
      <c r="CB50" s="47"/>
      <c r="CC50" s="47"/>
    </row>
    <row r="51" spans="1:81" ht="14.25" x14ac:dyDescent="0.45">
      <c r="A51" s="10"/>
      <c r="B51" s="10"/>
      <c r="C51" s="10"/>
      <c r="D51" s="10"/>
      <c r="E51" s="10"/>
      <c r="F51" s="10"/>
      <c r="G51" s="10"/>
      <c r="H51" s="25" t="str">
        <f>IFERROR(VLOOKUP(C51,'01_Поставщики'!$A$4:$M$11,2,FALSE()),"")</f>
        <v/>
      </c>
      <c r="I51" s="10"/>
      <c r="J51" s="25" t="str">
        <f>IFERROR(VLOOKUP(C51,'01_Поставщики'!$A$4:$M$11,8,FALSE()),"")</f>
        <v/>
      </c>
      <c r="K51" s="25" t="str">
        <f>IFERROR(VLOOKUP(C51,'01_Поставщики'!$A$4:$M$11,4,FALSE()),"")</f>
        <v/>
      </c>
      <c r="L51" s="25" t="str">
        <f>IFERROR(VLOOKUP(C51,'01_Поставщики'!$A$4:$M$11,10,FALSE()),"")</f>
        <v/>
      </c>
      <c r="M51" s="26" t="str">
        <f>IF(OR(A51="",B51=""),"",IFERROR(SUMIFS('04_Потребность'!$B$4:$B$103,'04_Потребность'!$A$4:$A$103,A51,'04_Потребность'!$C$4:$C$103,B51),0))</f>
        <v/>
      </c>
      <c r="N51" s="11"/>
      <c r="O51" s="10"/>
      <c r="P51" s="10"/>
      <c r="Q51" s="27"/>
      <c r="R51" s="27"/>
      <c r="S51" s="8"/>
      <c r="T51" s="8">
        <f>IFERROR(INDEX('02_Схемы оплаты'!$C$4:$C$19,MATCH($C51&amp;"|"&amp;$G51,'02_Схемы оплаты'!$H$4:$H$19,0)),0)</f>
        <v>0</v>
      </c>
      <c r="U51" s="11"/>
      <c r="V51" s="28"/>
      <c r="W51" s="8"/>
      <c r="X51" s="8">
        <f>IFERROR(INDEX('02_Схемы оплаты'!$D$4:$D$19,MATCH($C51&amp;"|"&amp;$G51,'02_Схемы оплаты'!$H$4:$H$19,0)),0)</f>
        <v>0</v>
      </c>
      <c r="Y51" s="11"/>
      <c r="Z51" s="28"/>
      <c r="AA51" s="8"/>
      <c r="AB51" s="8">
        <f>IFERROR(INDEX('02_Схемы оплаты'!$E$4:$E$19,MATCH($C51&amp;"|"&amp;$G51,'02_Схемы оплаты'!$H$4:$H$19,0)),0)</f>
        <v>0</v>
      </c>
      <c r="AC51" s="11"/>
      <c r="AD51" s="28"/>
      <c r="AE51" s="8"/>
      <c r="AF51" s="10"/>
      <c r="AG51" s="10"/>
      <c r="AH51" s="25">
        <f>IFERROR(SUMIFS('04_Потребность'!$D$4:$D$103,'04_Потребность'!$A$4:$A$103,A51,'04_Потребность'!$C$4:$C$103,B51),0)</f>
        <v>0</v>
      </c>
      <c r="AI51" s="26" t="str">
        <f>IF(OR(A51="",B51=""),"",IFERROR(SUMIFS('04_Потребность'!$E$4:$E$103,'04_Потребность'!$A$4:$A$103,A51,'04_Потребность'!$C$4:$C$103,B51),0))</f>
        <v/>
      </c>
      <c r="AJ51" s="25" t="str">
        <f>IF(OR(A51="",B51=""),"",IFERROR(SUMIFS('04_Потребность'!$F$4:$F$103,'04_Потребность'!$A$4:$A$103,A51,'04_Потребность'!$C$4:$C$103,B51),0))</f>
        <v/>
      </c>
      <c r="AK51" s="29" t="str">
        <f>IF(OR(A51="",B51=""),"",IFERROR(SUMIFS('04_Потребность'!$G$4:$G$103,'04_Потребность'!$A$4:$A$103,A51,'04_Потребность'!$C$4:$C$103,B51),0))</f>
        <v/>
      </c>
      <c r="AL51" s="25" t="str">
        <f>IF('03_Настройки'!$B$7="Нет","Нет",IF(COUNTIFS('04_Потребность'!$A$4:$A$103,A51,'04_Потребность'!$C$4:$C$103,B51,'04_Потребность'!$H$4:$H$103,"Да")&gt;0,"Да","Нет"))</f>
        <v>Нет</v>
      </c>
      <c r="AM51" s="30">
        <f t="shared" si="20"/>
        <v>0</v>
      </c>
      <c r="AN51" s="30">
        <f t="shared" si="21"/>
        <v>0</v>
      </c>
      <c r="AO51" s="29">
        <f t="shared" si="22"/>
        <v>0</v>
      </c>
      <c r="AP51" s="29">
        <f t="shared" si="23"/>
        <v>0</v>
      </c>
      <c r="AQ51" s="29">
        <f t="shared" si="24"/>
        <v>0</v>
      </c>
      <c r="AR51" s="29">
        <f>IFERROR(E51*'03_Настройки'!$B$4/365*(IF(T51&gt;0,T51*V51*(1+W51)*MAX(0,N51-U51),0)+IF(X51&gt;0,X51*Z51*(1+AA51)*MAX(0,N51-Y51),0)+IF(AB51&gt;0,AB51*AD51*(1+AE51)*MAX(0,N51-AC51),0)),0)</f>
        <v>0</v>
      </c>
      <c r="AS51" s="29">
        <f t="shared" si="25"/>
        <v>0</v>
      </c>
      <c r="AT51" s="31">
        <f t="shared" si="26"/>
        <v>0</v>
      </c>
      <c r="AU51" s="31">
        <f t="shared" si="27"/>
        <v>0</v>
      </c>
      <c r="AV51" s="32">
        <f t="shared" si="28"/>
        <v>0</v>
      </c>
      <c r="AW51" s="29" t="e">
        <f t="shared" si="29"/>
        <v>#VALUE!</v>
      </c>
      <c r="AX51" s="29">
        <f t="shared" si="30"/>
        <v>0</v>
      </c>
      <c r="AY51" s="29" t="e">
        <f t="shared" si="31"/>
        <v>#VALUE!</v>
      </c>
      <c r="AZ51" s="25" t="str">
        <f>IF(AND(A51&lt;&gt;"",B51&lt;&gt;"",C51&lt;&gt;"",D51&gt;0,E51&gt;0,N51&lt;&gt;"",AH51&gt;0,O51="Да",P51="Да",BZ51="ПОЛНО",ABS(AN51-1)&lt;='03_Настройки'!$B$5,IF(T51&gt;0,AND(U51&lt;&gt;"",V51&gt;0),TRUE()),IF(X51&gt;0,AND(Y51&lt;&gt;"",Z51&gt;0),TRUE()),IF(AB51&gt;0,AND(AC51&lt;&gt;"",AD51&gt;0),TRUE()),OR(BM51="",BM51="Активна")),"Да","Нет")</f>
        <v>Нет</v>
      </c>
      <c r="BA51" s="25" t="str">
        <f t="shared" si="32"/>
        <v>Нет</v>
      </c>
      <c r="BB51" s="25" t="str">
        <f t="shared" si="33"/>
        <v/>
      </c>
      <c r="BC51" s="25" t="str">
        <f t="shared" si="34"/>
        <v/>
      </c>
      <c r="BD51" s="25" t="str">
        <f t="shared" si="35"/>
        <v/>
      </c>
      <c r="BE51" s="25" t="str">
        <f>IF(A51="","",IF(BZ51&lt;&gt;"ПОЛНО","BLOCK: неполная форма",IF(O51&lt;&gt;"Да","BLOCK: ввоз не разрешён",IF(P51&lt;&gt;"Да","BLOCK: документы не подтверждены",IF(ABS(AN51-1)&gt;'03_Настройки'!$B$5,"BLOCK: платежи не 100%",IF(AND(BM51&lt;&gt;"",BM51&lt;&gt;"Активна"),"BLOCK: позиция "&amp;BM51,IF(BA51&lt;&gt;"Да","PARTIAL: не покрывает потребность",IF(BB51="ДА","самый дешёвый"&amp;IF(BC51="ДА"," + быстрый","")&amp;IF(BD51="ДА"," + optimal",""),IF(BC51="ДА","самый быстрый"&amp;IF(BD51="ДА"," + optimal",""),IF(BD51="ДА","optimal","Допущен"))))))))))</f>
        <v/>
      </c>
      <c r="BF51" s="25">
        <f>ROW()</f>
        <v>51</v>
      </c>
      <c r="BG51" s="33"/>
      <c r="BH51" s="33"/>
      <c r="BI51" s="33"/>
      <c r="BJ51" s="33"/>
      <c r="BK51" s="33"/>
      <c r="BL51" s="34"/>
      <c r="BM51" s="33"/>
      <c r="BN51" s="35" t="str">
        <f t="shared" si="36"/>
        <v/>
      </c>
      <c r="BO51" s="36" t="str">
        <f t="shared" si="37"/>
        <v/>
      </c>
      <c r="BP51" s="33"/>
      <c r="BQ51" s="38"/>
      <c r="BR51" s="13"/>
      <c r="BS51" s="13"/>
      <c r="BT51" s="13"/>
      <c r="BU51" s="13"/>
      <c r="BV51" s="13"/>
      <c r="BW51" s="13"/>
      <c r="BX51" s="39" t="str">
        <f t="shared" si="38"/>
        <v/>
      </c>
      <c r="BY51" s="47"/>
      <c r="BZ51" s="48" t="str">
        <f t="shared" si="39"/>
        <v/>
      </c>
      <c r="CA51" s="47"/>
      <c r="CB51" s="47"/>
      <c r="CC51" s="47"/>
    </row>
    <row r="52" spans="1:81" ht="14.25" x14ac:dyDescent="0.45">
      <c r="A52" s="10"/>
      <c r="B52" s="10"/>
      <c r="C52" s="10"/>
      <c r="D52" s="10"/>
      <c r="E52" s="10"/>
      <c r="F52" s="10"/>
      <c r="G52" s="10"/>
      <c r="H52" s="25" t="str">
        <f>IFERROR(VLOOKUP(C52,'01_Поставщики'!$A$4:$M$11,2,FALSE()),"")</f>
        <v/>
      </c>
      <c r="I52" s="10"/>
      <c r="J52" s="25" t="str">
        <f>IFERROR(VLOOKUP(C52,'01_Поставщики'!$A$4:$M$11,8,FALSE()),"")</f>
        <v/>
      </c>
      <c r="K52" s="25" t="str">
        <f>IFERROR(VLOOKUP(C52,'01_Поставщики'!$A$4:$M$11,4,FALSE()),"")</f>
        <v/>
      </c>
      <c r="L52" s="25" t="str">
        <f>IFERROR(VLOOKUP(C52,'01_Поставщики'!$A$4:$M$11,10,FALSE()),"")</f>
        <v/>
      </c>
      <c r="M52" s="26" t="str">
        <f>IF(OR(A52="",B52=""),"",IFERROR(SUMIFS('04_Потребность'!$B$4:$B$103,'04_Потребность'!$A$4:$A$103,A52,'04_Потребность'!$C$4:$C$103,B52),0))</f>
        <v/>
      </c>
      <c r="N52" s="11"/>
      <c r="O52" s="10"/>
      <c r="P52" s="10"/>
      <c r="Q52" s="27"/>
      <c r="R52" s="27"/>
      <c r="S52" s="8"/>
      <c r="T52" s="8">
        <f>IFERROR(INDEX('02_Схемы оплаты'!$C$4:$C$19,MATCH($C52&amp;"|"&amp;$G52,'02_Схемы оплаты'!$H$4:$H$19,0)),0)</f>
        <v>0</v>
      </c>
      <c r="U52" s="11"/>
      <c r="V52" s="28"/>
      <c r="W52" s="8"/>
      <c r="X52" s="8">
        <f>IFERROR(INDEX('02_Схемы оплаты'!$D$4:$D$19,MATCH($C52&amp;"|"&amp;$G52,'02_Схемы оплаты'!$H$4:$H$19,0)),0)</f>
        <v>0</v>
      </c>
      <c r="Y52" s="11"/>
      <c r="Z52" s="28"/>
      <c r="AA52" s="8"/>
      <c r="AB52" s="8">
        <f>IFERROR(INDEX('02_Схемы оплаты'!$E$4:$E$19,MATCH($C52&amp;"|"&amp;$G52,'02_Схемы оплаты'!$H$4:$H$19,0)),0)</f>
        <v>0</v>
      </c>
      <c r="AC52" s="11"/>
      <c r="AD52" s="28"/>
      <c r="AE52" s="8"/>
      <c r="AF52" s="10"/>
      <c r="AG52" s="10"/>
      <c r="AH52" s="25">
        <f>IFERROR(SUMIFS('04_Потребность'!$D$4:$D$103,'04_Потребность'!$A$4:$A$103,A52,'04_Потребность'!$C$4:$C$103,B52),0)</f>
        <v>0</v>
      </c>
      <c r="AI52" s="26" t="str">
        <f>IF(OR(A52="",B52=""),"",IFERROR(SUMIFS('04_Потребность'!$E$4:$E$103,'04_Потребность'!$A$4:$A$103,A52,'04_Потребность'!$C$4:$C$103,B52),0))</f>
        <v/>
      </c>
      <c r="AJ52" s="25" t="str">
        <f>IF(OR(A52="",B52=""),"",IFERROR(SUMIFS('04_Потребность'!$F$4:$F$103,'04_Потребность'!$A$4:$A$103,A52,'04_Потребность'!$C$4:$C$103,B52),0))</f>
        <v/>
      </c>
      <c r="AK52" s="29" t="str">
        <f>IF(OR(A52="",B52=""),"",IFERROR(SUMIFS('04_Потребность'!$G$4:$G$103,'04_Потребность'!$A$4:$A$103,A52,'04_Потребность'!$C$4:$C$103,B52),0))</f>
        <v/>
      </c>
      <c r="AL52" s="25" t="str">
        <f>IF('03_Настройки'!$B$7="Нет","Нет",IF(COUNTIFS('04_Потребность'!$A$4:$A$103,A52,'04_Потребность'!$C$4:$C$103,B52,'04_Потребность'!$H$4:$H$103,"Да")&gt;0,"Да","Нет"))</f>
        <v>Нет</v>
      </c>
      <c r="AM52" s="30">
        <f t="shared" si="20"/>
        <v>0</v>
      </c>
      <c r="AN52" s="30">
        <f t="shared" si="21"/>
        <v>0</v>
      </c>
      <c r="AO52" s="29">
        <f t="shared" si="22"/>
        <v>0</v>
      </c>
      <c r="AP52" s="29">
        <f t="shared" si="23"/>
        <v>0</v>
      </c>
      <c r="AQ52" s="29">
        <f t="shared" si="24"/>
        <v>0</v>
      </c>
      <c r="AR52" s="29">
        <f>IFERROR(E52*'03_Настройки'!$B$4/365*(IF(T52&gt;0,T52*V52*(1+W52)*MAX(0,N52-U52),0)+IF(X52&gt;0,X52*Z52*(1+AA52)*MAX(0,N52-Y52),0)+IF(AB52&gt;0,AB52*AD52*(1+AE52)*MAX(0,N52-AC52),0)),0)</f>
        <v>0</v>
      </c>
      <c r="AS52" s="29">
        <f t="shared" si="25"/>
        <v>0</v>
      </c>
      <c r="AT52" s="31">
        <f t="shared" si="26"/>
        <v>0</v>
      </c>
      <c r="AU52" s="31">
        <f t="shared" si="27"/>
        <v>0</v>
      </c>
      <c r="AV52" s="32">
        <f t="shared" si="28"/>
        <v>0</v>
      </c>
      <c r="AW52" s="29" t="e">
        <f t="shared" si="29"/>
        <v>#VALUE!</v>
      </c>
      <c r="AX52" s="29">
        <f t="shared" si="30"/>
        <v>0</v>
      </c>
      <c r="AY52" s="29" t="e">
        <f t="shared" si="31"/>
        <v>#VALUE!</v>
      </c>
      <c r="AZ52" s="25" t="str">
        <f>IF(AND(A52&lt;&gt;"",B52&lt;&gt;"",C52&lt;&gt;"",D52&gt;0,E52&gt;0,N52&lt;&gt;"",AH52&gt;0,O52="Да",P52="Да",BZ52="ПОЛНО",ABS(AN52-1)&lt;='03_Настройки'!$B$5,IF(T52&gt;0,AND(U52&lt;&gt;"",V52&gt;0),TRUE()),IF(X52&gt;0,AND(Y52&lt;&gt;"",Z52&gt;0),TRUE()),IF(AB52&gt;0,AND(AC52&lt;&gt;"",AD52&gt;0),TRUE()),OR(BM52="",BM52="Активна")),"Да","Нет")</f>
        <v>Нет</v>
      </c>
      <c r="BA52" s="25" t="str">
        <f t="shared" si="32"/>
        <v>Нет</v>
      </c>
      <c r="BB52" s="25" t="str">
        <f t="shared" si="33"/>
        <v/>
      </c>
      <c r="BC52" s="25" t="str">
        <f t="shared" si="34"/>
        <v/>
      </c>
      <c r="BD52" s="25" t="str">
        <f t="shared" si="35"/>
        <v/>
      </c>
      <c r="BE52" s="25" t="str">
        <f>IF(A52="","",IF(BZ52&lt;&gt;"ПОЛНО","BLOCK: неполная форма",IF(O52&lt;&gt;"Да","BLOCK: ввоз не разрешён",IF(P52&lt;&gt;"Да","BLOCK: документы не подтверждены",IF(ABS(AN52-1)&gt;'03_Настройки'!$B$5,"BLOCK: платежи не 100%",IF(AND(BM52&lt;&gt;"",BM52&lt;&gt;"Активна"),"BLOCK: позиция "&amp;BM52,IF(BA52&lt;&gt;"Да","PARTIAL: не покрывает потребность",IF(BB52="ДА","самый дешёвый"&amp;IF(BC52="ДА"," + быстрый","")&amp;IF(BD52="ДА"," + optimal",""),IF(BC52="ДА","самый быстрый"&amp;IF(BD52="ДА"," + optimal",""),IF(BD52="ДА","optimal","Допущен"))))))))))</f>
        <v/>
      </c>
      <c r="BF52" s="25">
        <f>ROW()</f>
        <v>52</v>
      </c>
      <c r="BG52" s="33"/>
      <c r="BH52" s="33"/>
      <c r="BI52" s="33"/>
      <c r="BJ52" s="33"/>
      <c r="BK52" s="33"/>
      <c r="BL52" s="34"/>
      <c r="BM52" s="33"/>
      <c r="BN52" s="35" t="str">
        <f t="shared" si="36"/>
        <v/>
      </c>
      <c r="BO52" s="36" t="str">
        <f t="shared" si="37"/>
        <v/>
      </c>
      <c r="BP52" s="33"/>
      <c r="BQ52" s="38"/>
      <c r="BR52" s="13"/>
      <c r="BS52" s="13"/>
      <c r="BT52" s="13"/>
      <c r="BU52" s="13"/>
      <c r="BV52" s="13"/>
      <c r="BW52" s="13"/>
      <c r="BX52" s="39" t="str">
        <f t="shared" si="38"/>
        <v/>
      </c>
      <c r="BY52" s="47"/>
      <c r="BZ52" s="48" t="str">
        <f t="shared" si="39"/>
        <v/>
      </c>
      <c r="CA52" s="47"/>
      <c r="CB52" s="47"/>
      <c r="CC52" s="47"/>
    </row>
    <row r="53" spans="1:81" ht="14.25" x14ac:dyDescent="0.45">
      <c r="A53" s="10"/>
      <c r="B53" s="10"/>
      <c r="C53" s="10"/>
      <c r="D53" s="10"/>
      <c r="E53" s="10"/>
      <c r="F53" s="10"/>
      <c r="G53" s="10"/>
      <c r="H53" s="25" t="str">
        <f>IFERROR(VLOOKUP(C53,'01_Поставщики'!$A$4:$M$11,2,FALSE()),"")</f>
        <v/>
      </c>
      <c r="I53" s="10"/>
      <c r="J53" s="25" t="str">
        <f>IFERROR(VLOOKUP(C53,'01_Поставщики'!$A$4:$M$11,8,FALSE()),"")</f>
        <v/>
      </c>
      <c r="K53" s="25" t="str">
        <f>IFERROR(VLOOKUP(C53,'01_Поставщики'!$A$4:$M$11,4,FALSE()),"")</f>
        <v/>
      </c>
      <c r="L53" s="25" t="str">
        <f>IFERROR(VLOOKUP(C53,'01_Поставщики'!$A$4:$M$11,10,FALSE()),"")</f>
        <v/>
      </c>
      <c r="M53" s="26" t="str">
        <f>IF(OR(A53="",B53=""),"",IFERROR(SUMIFS('04_Потребность'!$B$4:$B$103,'04_Потребность'!$A$4:$A$103,A53,'04_Потребность'!$C$4:$C$103,B53),0))</f>
        <v/>
      </c>
      <c r="N53" s="11"/>
      <c r="O53" s="10"/>
      <c r="P53" s="10"/>
      <c r="Q53" s="27"/>
      <c r="R53" s="27"/>
      <c r="S53" s="8"/>
      <c r="T53" s="8">
        <f>IFERROR(INDEX('02_Схемы оплаты'!$C$4:$C$19,MATCH($C53&amp;"|"&amp;$G53,'02_Схемы оплаты'!$H$4:$H$19,0)),0)</f>
        <v>0</v>
      </c>
      <c r="U53" s="11"/>
      <c r="V53" s="28"/>
      <c r="W53" s="8"/>
      <c r="X53" s="8">
        <f>IFERROR(INDEX('02_Схемы оплаты'!$D$4:$D$19,MATCH($C53&amp;"|"&amp;$G53,'02_Схемы оплаты'!$H$4:$H$19,0)),0)</f>
        <v>0</v>
      </c>
      <c r="Y53" s="11"/>
      <c r="Z53" s="28"/>
      <c r="AA53" s="8"/>
      <c r="AB53" s="8">
        <f>IFERROR(INDEX('02_Схемы оплаты'!$E$4:$E$19,MATCH($C53&amp;"|"&amp;$G53,'02_Схемы оплаты'!$H$4:$H$19,0)),0)</f>
        <v>0</v>
      </c>
      <c r="AC53" s="11"/>
      <c r="AD53" s="28"/>
      <c r="AE53" s="8"/>
      <c r="AF53" s="10"/>
      <c r="AG53" s="10"/>
      <c r="AH53" s="25">
        <f>IFERROR(SUMIFS('04_Потребность'!$D$4:$D$103,'04_Потребность'!$A$4:$A$103,A53,'04_Потребность'!$C$4:$C$103,B53),0)</f>
        <v>0</v>
      </c>
      <c r="AI53" s="26" t="str">
        <f>IF(OR(A53="",B53=""),"",IFERROR(SUMIFS('04_Потребность'!$E$4:$E$103,'04_Потребность'!$A$4:$A$103,A53,'04_Потребность'!$C$4:$C$103,B53),0))</f>
        <v/>
      </c>
      <c r="AJ53" s="25" t="str">
        <f>IF(OR(A53="",B53=""),"",IFERROR(SUMIFS('04_Потребность'!$F$4:$F$103,'04_Потребность'!$A$4:$A$103,A53,'04_Потребность'!$C$4:$C$103,B53),0))</f>
        <v/>
      </c>
      <c r="AK53" s="29" t="str">
        <f>IF(OR(A53="",B53=""),"",IFERROR(SUMIFS('04_Потребность'!$G$4:$G$103,'04_Потребность'!$A$4:$A$103,A53,'04_Потребность'!$C$4:$C$103,B53),0))</f>
        <v/>
      </c>
      <c r="AL53" s="25" t="str">
        <f>IF('03_Настройки'!$B$7="Нет","Нет",IF(COUNTIFS('04_Потребность'!$A$4:$A$103,A53,'04_Потребность'!$C$4:$C$103,B53,'04_Потребность'!$H$4:$H$103,"Да")&gt;0,"Да","Нет"))</f>
        <v>Нет</v>
      </c>
      <c r="AM53" s="30">
        <f t="shared" si="20"/>
        <v>0</v>
      </c>
      <c r="AN53" s="30">
        <f t="shared" si="21"/>
        <v>0</v>
      </c>
      <c r="AO53" s="29">
        <f t="shared" si="22"/>
        <v>0</v>
      </c>
      <c r="AP53" s="29">
        <f t="shared" si="23"/>
        <v>0</v>
      </c>
      <c r="AQ53" s="29">
        <f t="shared" si="24"/>
        <v>0</v>
      </c>
      <c r="AR53" s="29">
        <f>IFERROR(E53*'03_Настройки'!$B$4/365*(IF(T53&gt;0,T53*V53*(1+W53)*MAX(0,N53-U53),0)+IF(X53&gt;0,X53*Z53*(1+AA53)*MAX(0,N53-Y53),0)+IF(AB53&gt;0,AB53*AD53*(1+AE53)*MAX(0,N53-AC53),0)),0)</f>
        <v>0</v>
      </c>
      <c r="AS53" s="29">
        <f t="shared" si="25"/>
        <v>0</v>
      </c>
      <c r="AT53" s="31">
        <f t="shared" si="26"/>
        <v>0</v>
      </c>
      <c r="AU53" s="31">
        <f t="shared" si="27"/>
        <v>0</v>
      </c>
      <c r="AV53" s="32">
        <f t="shared" si="28"/>
        <v>0</v>
      </c>
      <c r="AW53" s="29" t="e">
        <f t="shared" si="29"/>
        <v>#VALUE!</v>
      </c>
      <c r="AX53" s="29">
        <f t="shared" si="30"/>
        <v>0</v>
      </c>
      <c r="AY53" s="29" t="e">
        <f t="shared" si="31"/>
        <v>#VALUE!</v>
      </c>
      <c r="AZ53" s="25" t="str">
        <f>IF(AND(A53&lt;&gt;"",B53&lt;&gt;"",C53&lt;&gt;"",D53&gt;0,E53&gt;0,N53&lt;&gt;"",AH53&gt;0,O53="Да",P53="Да",BZ53="ПОЛНО",ABS(AN53-1)&lt;='03_Настройки'!$B$5,IF(T53&gt;0,AND(U53&lt;&gt;"",V53&gt;0),TRUE()),IF(X53&gt;0,AND(Y53&lt;&gt;"",Z53&gt;0),TRUE()),IF(AB53&gt;0,AND(AC53&lt;&gt;"",AD53&gt;0),TRUE()),OR(BM53="",BM53="Активна")),"Да","Нет")</f>
        <v>Нет</v>
      </c>
      <c r="BA53" s="25" t="str">
        <f t="shared" si="32"/>
        <v>Нет</v>
      </c>
      <c r="BB53" s="25" t="str">
        <f t="shared" si="33"/>
        <v/>
      </c>
      <c r="BC53" s="25" t="str">
        <f t="shared" si="34"/>
        <v/>
      </c>
      <c r="BD53" s="25" t="str">
        <f t="shared" si="35"/>
        <v/>
      </c>
      <c r="BE53" s="25" t="str">
        <f>IF(A53="","",IF(BZ53&lt;&gt;"ПОЛНО","BLOCK: неполная форма",IF(O53&lt;&gt;"Да","BLOCK: ввоз не разрешён",IF(P53&lt;&gt;"Да","BLOCK: документы не подтверждены",IF(ABS(AN53-1)&gt;'03_Настройки'!$B$5,"BLOCK: платежи не 100%",IF(AND(BM53&lt;&gt;"",BM53&lt;&gt;"Активна"),"BLOCK: позиция "&amp;BM53,IF(BA53&lt;&gt;"Да","PARTIAL: не покрывает потребность",IF(BB53="ДА","самый дешёвый"&amp;IF(BC53="ДА"," + быстрый","")&amp;IF(BD53="ДА"," + optimal",""),IF(BC53="ДА","самый быстрый"&amp;IF(BD53="ДА"," + optimal",""),IF(BD53="ДА","optimal","Допущен"))))))))))</f>
        <v/>
      </c>
      <c r="BF53" s="25">
        <f>ROW()</f>
        <v>53</v>
      </c>
      <c r="BG53" s="33"/>
      <c r="BH53" s="33"/>
      <c r="BI53" s="33"/>
      <c r="BJ53" s="33"/>
      <c r="BK53" s="33"/>
      <c r="BL53" s="34"/>
      <c r="BM53" s="33"/>
      <c r="BN53" s="35" t="str">
        <f t="shared" si="36"/>
        <v/>
      </c>
      <c r="BO53" s="36" t="str">
        <f t="shared" si="37"/>
        <v/>
      </c>
      <c r="BP53" s="33"/>
      <c r="BQ53" s="38"/>
      <c r="BR53" s="13"/>
      <c r="BS53" s="13"/>
      <c r="BT53" s="13"/>
      <c r="BU53" s="13"/>
      <c r="BV53" s="13"/>
      <c r="BW53" s="13"/>
      <c r="BX53" s="39" t="str">
        <f t="shared" si="38"/>
        <v/>
      </c>
      <c r="BY53" s="47"/>
      <c r="BZ53" s="48" t="str">
        <f t="shared" si="39"/>
        <v/>
      </c>
      <c r="CA53" s="47"/>
      <c r="CB53" s="47"/>
      <c r="CC53" s="47"/>
    </row>
    <row r="54" spans="1:81" ht="14.25" x14ac:dyDescent="0.45">
      <c r="A54" s="10"/>
      <c r="B54" s="10"/>
      <c r="C54" s="10"/>
      <c r="D54" s="10"/>
      <c r="E54" s="10"/>
      <c r="F54" s="10"/>
      <c r="G54" s="10"/>
      <c r="H54" s="25" t="str">
        <f>IFERROR(VLOOKUP(C54,'01_Поставщики'!$A$4:$M$11,2,FALSE()),"")</f>
        <v/>
      </c>
      <c r="I54" s="10"/>
      <c r="J54" s="25" t="str">
        <f>IFERROR(VLOOKUP(C54,'01_Поставщики'!$A$4:$M$11,8,FALSE()),"")</f>
        <v/>
      </c>
      <c r="K54" s="25" t="str">
        <f>IFERROR(VLOOKUP(C54,'01_Поставщики'!$A$4:$M$11,4,FALSE()),"")</f>
        <v/>
      </c>
      <c r="L54" s="25" t="str">
        <f>IFERROR(VLOOKUP(C54,'01_Поставщики'!$A$4:$M$11,10,FALSE()),"")</f>
        <v/>
      </c>
      <c r="M54" s="26" t="str">
        <f>IF(OR(A54="",B54=""),"",IFERROR(SUMIFS('04_Потребность'!$B$4:$B$103,'04_Потребность'!$A$4:$A$103,A54,'04_Потребность'!$C$4:$C$103,B54),0))</f>
        <v/>
      </c>
      <c r="N54" s="11"/>
      <c r="O54" s="10"/>
      <c r="P54" s="10"/>
      <c r="Q54" s="27"/>
      <c r="R54" s="27"/>
      <c r="S54" s="8"/>
      <c r="T54" s="8">
        <f>IFERROR(INDEX('02_Схемы оплаты'!$C$4:$C$19,MATCH($C54&amp;"|"&amp;$G54,'02_Схемы оплаты'!$H$4:$H$19,0)),0)</f>
        <v>0</v>
      </c>
      <c r="U54" s="11"/>
      <c r="V54" s="28"/>
      <c r="W54" s="8"/>
      <c r="X54" s="8">
        <f>IFERROR(INDEX('02_Схемы оплаты'!$D$4:$D$19,MATCH($C54&amp;"|"&amp;$G54,'02_Схемы оплаты'!$H$4:$H$19,0)),0)</f>
        <v>0</v>
      </c>
      <c r="Y54" s="11"/>
      <c r="Z54" s="28"/>
      <c r="AA54" s="8"/>
      <c r="AB54" s="8">
        <f>IFERROR(INDEX('02_Схемы оплаты'!$E$4:$E$19,MATCH($C54&amp;"|"&amp;$G54,'02_Схемы оплаты'!$H$4:$H$19,0)),0)</f>
        <v>0</v>
      </c>
      <c r="AC54" s="11"/>
      <c r="AD54" s="28"/>
      <c r="AE54" s="8"/>
      <c r="AF54" s="10"/>
      <c r="AG54" s="10"/>
      <c r="AH54" s="25">
        <f>IFERROR(SUMIFS('04_Потребность'!$D$4:$D$103,'04_Потребность'!$A$4:$A$103,A54,'04_Потребность'!$C$4:$C$103,B54),0)</f>
        <v>0</v>
      </c>
      <c r="AI54" s="26" t="str">
        <f>IF(OR(A54="",B54=""),"",IFERROR(SUMIFS('04_Потребность'!$E$4:$E$103,'04_Потребность'!$A$4:$A$103,A54,'04_Потребность'!$C$4:$C$103,B54),0))</f>
        <v/>
      </c>
      <c r="AJ54" s="25" t="str">
        <f>IF(OR(A54="",B54=""),"",IFERROR(SUMIFS('04_Потребность'!$F$4:$F$103,'04_Потребность'!$A$4:$A$103,A54,'04_Потребность'!$C$4:$C$103,B54),0))</f>
        <v/>
      </c>
      <c r="AK54" s="29" t="str">
        <f>IF(OR(A54="",B54=""),"",IFERROR(SUMIFS('04_Потребность'!$G$4:$G$103,'04_Потребность'!$A$4:$A$103,A54,'04_Потребность'!$C$4:$C$103,B54),0))</f>
        <v/>
      </c>
      <c r="AL54" s="25" t="str">
        <f>IF('03_Настройки'!$B$7="Нет","Нет",IF(COUNTIFS('04_Потребность'!$A$4:$A$103,A54,'04_Потребность'!$C$4:$C$103,B54,'04_Потребность'!$H$4:$H$103,"Да")&gt;0,"Да","Нет"))</f>
        <v>Нет</v>
      </c>
      <c r="AM54" s="30">
        <f t="shared" si="20"/>
        <v>0</v>
      </c>
      <c r="AN54" s="30">
        <f t="shared" si="21"/>
        <v>0</v>
      </c>
      <c r="AO54" s="29">
        <f t="shared" si="22"/>
        <v>0</v>
      </c>
      <c r="AP54" s="29">
        <f t="shared" si="23"/>
        <v>0</v>
      </c>
      <c r="AQ54" s="29">
        <f t="shared" si="24"/>
        <v>0</v>
      </c>
      <c r="AR54" s="29">
        <f>IFERROR(E54*'03_Настройки'!$B$4/365*(IF(T54&gt;0,T54*V54*(1+W54)*MAX(0,N54-U54),0)+IF(X54&gt;0,X54*Z54*(1+AA54)*MAX(0,N54-Y54),0)+IF(AB54&gt;0,AB54*AD54*(1+AE54)*MAX(0,N54-AC54),0)),0)</f>
        <v>0</v>
      </c>
      <c r="AS54" s="29">
        <f t="shared" si="25"/>
        <v>0</v>
      </c>
      <c r="AT54" s="31">
        <f t="shared" si="26"/>
        <v>0</v>
      </c>
      <c r="AU54" s="31">
        <f t="shared" si="27"/>
        <v>0</v>
      </c>
      <c r="AV54" s="32">
        <f t="shared" si="28"/>
        <v>0</v>
      </c>
      <c r="AW54" s="29" t="e">
        <f t="shared" si="29"/>
        <v>#VALUE!</v>
      </c>
      <c r="AX54" s="29">
        <f t="shared" si="30"/>
        <v>0</v>
      </c>
      <c r="AY54" s="29" t="e">
        <f t="shared" si="31"/>
        <v>#VALUE!</v>
      </c>
      <c r="AZ54" s="25" t="str">
        <f>IF(AND(A54&lt;&gt;"",B54&lt;&gt;"",C54&lt;&gt;"",D54&gt;0,E54&gt;0,N54&lt;&gt;"",AH54&gt;0,O54="Да",P54="Да",BZ54="ПОЛНО",ABS(AN54-1)&lt;='03_Настройки'!$B$5,IF(T54&gt;0,AND(U54&lt;&gt;"",V54&gt;0),TRUE()),IF(X54&gt;0,AND(Y54&lt;&gt;"",Z54&gt;0),TRUE()),IF(AB54&gt;0,AND(AC54&lt;&gt;"",AD54&gt;0),TRUE()),OR(BM54="",BM54="Активна")),"Да","Нет")</f>
        <v>Нет</v>
      </c>
      <c r="BA54" s="25" t="str">
        <f t="shared" si="32"/>
        <v>Нет</v>
      </c>
      <c r="BB54" s="25" t="str">
        <f t="shared" si="33"/>
        <v/>
      </c>
      <c r="BC54" s="25" t="str">
        <f t="shared" si="34"/>
        <v/>
      </c>
      <c r="BD54" s="25" t="str">
        <f t="shared" si="35"/>
        <v/>
      </c>
      <c r="BE54" s="25" t="str">
        <f>IF(A54="","",IF(BZ54&lt;&gt;"ПОЛНО","BLOCK: неполная форма",IF(O54&lt;&gt;"Да","BLOCK: ввоз не разрешён",IF(P54&lt;&gt;"Да","BLOCK: документы не подтверждены",IF(ABS(AN54-1)&gt;'03_Настройки'!$B$5,"BLOCK: платежи не 100%",IF(AND(BM54&lt;&gt;"",BM54&lt;&gt;"Активна"),"BLOCK: позиция "&amp;BM54,IF(BA54&lt;&gt;"Да","PARTIAL: не покрывает потребность",IF(BB54="ДА","самый дешёвый"&amp;IF(BC54="ДА"," + быстрый","")&amp;IF(BD54="ДА"," + optimal",""),IF(BC54="ДА","самый быстрый"&amp;IF(BD54="ДА"," + optimal",""),IF(BD54="ДА","optimal","Допущен"))))))))))</f>
        <v/>
      </c>
      <c r="BF54" s="25">
        <f>ROW()</f>
        <v>54</v>
      </c>
      <c r="BG54" s="33"/>
      <c r="BH54" s="33"/>
      <c r="BI54" s="33"/>
      <c r="BJ54" s="33"/>
      <c r="BK54" s="33"/>
      <c r="BL54" s="34"/>
      <c r="BM54" s="33"/>
      <c r="BN54" s="35" t="str">
        <f t="shared" si="36"/>
        <v/>
      </c>
      <c r="BO54" s="36" t="str">
        <f t="shared" si="37"/>
        <v/>
      </c>
      <c r="BP54" s="33"/>
      <c r="BQ54" s="38"/>
      <c r="BR54" s="13"/>
      <c r="BS54" s="13"/>
      <c r="BT54" s="13"/>
      <c r="BU54" s="13"/>
      <c r="BV54" s="13"/>
      <c r="BW54" s="13"/>
      <c r="BX54" s="39" t="str">
        <f t="shared" si="38"/>
        <v/>
      </c>
      <c r="BY54" s="47"/>
      <c r="BZ54" s="48" t="str">
        <f t="shared" si="39"/>
        <v/>
      </c>
      <c r="CA54" s="47"/>
      <c r="CB54" s="47"/>
      <c r="CC54" s="47"/>
    </row>
    <row r="55" spans="1:81" ht="14.25" x14ac:dyDescent="0.45">
      <c r="A55" s="10"/>
      <c r="B55" s="10"/>
      <c r="C55" s="10"/>
      <c r="D55" s="10"/>
      <c r="E55" s="10"/>
      <c r="F55" s="10"/>
      <c r="G55" s="10"/>
      <c r="H55" s="25" t="str">
        <f>IFERROR(VLOOKUP(C55,'01_Поставщики'!$A$4:$M$11,2,FALSE()),"")</f>
        <v/>
      </c>
      <c r="I55" s="10"/>
      <c r="J55" s="25" t="str">
        <f>IFERROR(VLOOKUP(C55,'01_Поставщики'!$A$4:$M$11,8,FALSE()),"")</f>
        <v/>
      </c>
      <c r="K55" s="25" t="str">
        <f>IFERROR(VLOOKUP(C55,'01_Поставщики'!$A$4:$M$11,4,FALSE()),"")</f>
        <v/>
      </c>
      <c r="L55" s="25" t="str">
        <f>IFERROR(VLOOKUP(C55,'01_Поставщики'!$A$4:$M$11,10,FALSE()),"")</f>
        <v/>
      </c>
      <c r="M55" s="26" t="str">
        <f>IF(OR(A55="",B55=""),"",IFERROR(SUMIFS('04_Потребность'!$B$4:$B$103,'04_Потребность'!$A$4:$A$103,A55,'04_Потребность'!$C$4:$C$103,B55),0))</f>
        <v/>
      </c>
      <c r="N55" s="11"/>
      <c r="O55" s="10"/>
      <c r="P55" s="10"/>
      <c r="Q55" s="27"/>
      <c r="R55" s="27"/>
      <c r="S55" s="8"/>
      <c r="T55" s="8">
        <f>IFERROR(INDEX('02_Схемы оплаты'!$C$4:$C$19,MATCH($C55&amp;"|"&amp;$G55,'02_Схемы оплаты'!$H$4:$H$19,0)),0)</f>
        <v>0</v>
      </c>
      <c r="U55" s="11"/>
      <c r="V55" s="28"/>
      <c r="W55" s="8"/>
      <c r="X55" s="8">
        <f>IFERROR(INDEX('02_Схемы оплаты'!$D$4:$D$19,MATCH($C55&amp;"|"&amp;$G55,'02_Схемы оплаты'!$H$4:$H$19,0)),0)</f>
        <v>0</v>
      </c>
      <c r="Y55" s="11"/>
      <c r="Z55" s="28"/>
      <c r="AA55" s="8"/>
      <c r="AB55" s="8">
        <f>IFERROR(INDEX('02_Схемы оплаты'!$E$4:$E$19,MATCH($C55&amp;"|"&amp;$G55,'02_Схемы оплаты'!$H$4:$H$19,0)),0)</f>
        <v>0</v>
      </c>
      <c r="AC55" s="11"/>
      <c r="AD55" s="28"/>
      <c r="AE55" s="8"/>
      <c r="AF55" s="10"/>
      <c r="AG55" s="10"/>
      <c r="AH55" s="25">
        <f>IFERROR(SUMIFS('04_Потребность'!$D$4:$D$103,'04_Потребность'!$A$4:$A$103,A55,'04_Потребность'!$C$4:$C$103,B55),0)</f>
        <v>0</v>
      </c>
      <c r="AI55" s="26" t="str">
        <f>IF(OR(A55="",B55=""),"",IFERROR(SUMIFS('04_Потребность'!$E$4:$E$103,'04_Потребность'!$A$4:$A$103,A55,'04_Потребность'!$C$4:$C$103,B55),0))</f>
        <v/>
      </c>
      <c r="AJ55" s="25" t="str">
        <f>IF(OR(A55="",B55=""),"",IFERROR(SUMIFS('04_Потребность'!$F$4:$F$103,'04_Потребность'!$A$4:$A$103,A55,'04_Потребность'!$C$4:$C$103,B55),0))</f>
        <v/>
      </c>
      <c r="AK55" s="29" t="str">
        <f>IF(OR(A55="",B55=""),"",IFERROR(SUMIFS('04_Потребность'!$G$4:$G$103,'04_Потребность'!$A$4:$A$103,A55,'04_Потребность'!$C$4:$C$103,B55),0))</f>
        <v/>
      </c>
      <c r="AL55" s="25" t="str">
        <f>IF('03_Настройки'!$B$7="Нет","Нет",IF(COUNTIFS('04_Потребность'!$A$4:$A$103,A55,'04_Потребность'!$C$4:$C$103,B55,'04_Потребность'!$H$4:$H$103,"Да")&gt;0,"Да","Нет"))</f>
        <v>Нет</v>
      </c>
      <c r="AM55" s="30">
        <f t="shared" si="20"/>
        <v>0</v>
      </c>
      <c r="AN55" s="30">
        <f t="shared" si="21"/>
        <v>0</v>
      </c>
      <c r="AO55" s="29">
        <f t="shared" si="22"/>
        <v>0</v>
      </c>
      <c r="AP55" s="29">
        <f t="shared" si="23"/>
        <v>0</v>
      </c>
      <c r="AQ55" s="29">
        <f t="shared" si="24"/>
        <v>0</v>
      </c>
      <c r="AR55" s="29">
        <f>IFERROR(E55*'03_Настройки'!$B$4/365*(IF(T55&gt;0,T55*V55*(1+W55)*MAX(0,N55-U55),0)+IF(X55&gt;0,X55*Z55*(1+AA55)*MAX(0,N55-Y55),0)+IF(AB55&gt;0,AB55*AD55*(1+AE55)*MAX(0,N55-AC55),0)),0)</f>
        <v>0</v>
      </c>
      <c r="AS55" s="29">
        <f t="shared" si="25"/>
        <v>0</v>
      </c>
      <c r="AT55" s="31">
        <f t="shared" si="26"/>
        <v>0</v>
      </c>
      <c r="AU55" s="31">
        <f t="shared" si="27"/>
        <v>0</v>
      </c>
      <c r="AV55" s="32">
        <f t="shared" si="28"/>
        <v>0</v>
      </c>
      <c r="AW55" s="29" t="e">
        <f t="shared" si="29"/>
        <v>#VALUE!</v>
      </c>
      <c r="AX55" s="29">
        <f t="shared" si="30"/>
        <v>0</v>
      </c>
      <c r="AY55" s="29" t="e">
        <f t="shared" si="31"/>
        <v>#VALUE!</v>
      </c>
      <c r="AZ55" s="25" t="str">
        <f>IF(AND(A55&lt;&gt;"",B55&lt;&gt;"",C55&lt;&gt;"",D55&gt;0,E55&gt;0,N55&lt;&gt;"",AH55&gt;0,O55="Да",P55="Да",BZ55="ПОЛНО",ABS(AN55-1)&lt;='03_Настройки'!$B$5,IF(T55&gt;0,AND(U55&lt;&gt;"",V55&gt;0),TRUE()),IF(X55&gt;0,AND(Y55&lt;&gt;"",Z55&gt;0),TRUE()),IF(AB55&gt;0,AND(AC55&lt;&gt;"",AD55&gt;0),TRUE()),OR(BM55="",BM55="Активна")),"Да","Нет")</f>
        <v>Нет</v>
      </c>
      <c r="BA55" s="25" t="str">
        <f t="shared" si="32"/>
        <v>Нет</v>
      </c>
      <c r="BB55" s="25" t="str">
        <f t="shared" si="33"/>
        <v/>
      </c>
      <c r="BC55" s="25" t="str">
        <f t="shared" si="34"/>
        <v/>
      </c>
      <c r="BD55" s="25" t="str">
        <f t="shared" si="35"/>
        <v/>
      </c>
      <c r="BE55" s="25" t="str">
        <f>IF(A55="","",IF(BZ55&lt;&gt;"ПОЛНО","BLOCK: неполная форма",IF(O55&lt;&gt;"Да","BLOCK: ввоз не разрешён",IF(P55&lt;&gt;"Да","BLOCK: документы не подтверждены",IF(ABS(AN55-1)&gt;'03_Настройки'!$B$5,"BLOCK: платежи не 100%",IF(AND(BM55&lt;&gt;"",BM55&lt;&gt;"Активна"),"BLOCK: позиция "&amp;BM55,IF(BA55&lt;&gt;"Да","PARTIAL: не покрывает потребность",IF(BB55="ДА","самый дешёвый"&amp;IF(BC55="ДА"," + быстрый","")&amp;IF(BD55="ДА"," + optimal",""),IF(BC55="ДА","самый быстрый"&amp;IF(BD55="ДА"," + optimal",""),IF(BD55="ДА","optimal","Допущен"))))))))))</f>
        <v/>
      </c>
      <c r="BF55" s="25">
        <f>ROW()</f>
        <v>55</v>
      </c>
      <c r="BG55" s="33"/>
      <c r="BH55" s="33"/>
      <c r="BI55" s="33"/>
      <c r="BJ55" s="33"/>
      <c r="BK55" s="33"/>
      <c r="BL55" s="34"/>
      <c r="BM55" s="33"/>
      <c r="BN55" s="35" t="str">
        <f t="shared" si="36"/>
        <v/>
      </c>
      <c r="BO55" s="36" t="str">
        <f t="shared" si="37"/>
        <v/>
      </c>
      <c r="BP55" s="33"/>
      <c r="BQ55" s="38"/>
      <c r="BR55" s="13"/>
      <c r="BS55" s="13"/>
      <c r="BT55" s="13"/>
      <c r="BU55" s="13"/>
      <c r="BV55" s="13"/>
      <c r="BW55" s="13"/>
      <c r="BX55" s="39" t="str">
        <f t="shared" si="38"/>
        <v/>
      </c>
      <c r="BY55" s="47"/>
      <c r="BZ55" s="48" t="str">
        <f t="shared" si="39"/>
        <v/>
      </c>
      <c r="CA55" s="47"/>
      <c r="CB55" s="47"/>
      <c r="CC55" s="47"/>
    </row>
    <row r="56" spans="1:81" ht="14.25" x14ac:dyDescent="0.45">
      <c r="A56" s="10"/>
      <c r="B56" s="10"/>
      <c r="C56" s="10"/>
      <c r="D56" s="10"/>
      <c r="E56" s="10"/>
      <c r="F56" s="10"/>
      <c r="G56" s="10"/>
      <c r="H56" s="25" t="str">
        <f>IFERROR(VLOOKUP(C56,'01_Поставщики'!$A$4:$M$11,2,FALSE()),"")</f>
        <v/>
      </c>
      <c r="I56" s="10"/>
      <c r="J56" s="25" t="str">
        <f>IFERROR(VLOOKUP(C56,'01_Поставщики'!$A$4:$M$11,8,FALSE()),"")</f>
        <v/>
      </c>
      <c r="K56" s="25" t="str">
        <f>IFERROR(VLOOKUP(C56,'01_Поставщики'!$A$4:$M$11,4,FALSE()),"")</f>
        <v/>
      </c>
      <c r="L56" s="25" t="str">
        <f>IFERROR(VLOOKUP(C56,'01_Поставщики'!$A$4:$M$11,10,FALSE()),"")</f>
        <v/>
      </c>
      <c r="M56" s="26" t="str">
        <f>IF(OR(A56="",B56=""),"",IFERROR(SUMIFS('04_Потребность'!$B$4:$B$103,'04_Потребность'!$A$4:$A$103,A56,'04_Потребность'!$C$4:$C$103,B56),0))</f>
        <v/>
      </c>
      <c r="N56" s="11"/>
      <c r="O56" s="10"/>
      <c r="P56" s="10"/>
      <c r="Q56" s="27"/>
      <c r="R56" s="27"/>
      <c r="S56" s="8"/>
      <c r="T56" s="8">
        <f>IFERROR(INDEX('02_Схемы оплаты'!$C$4:$C$19,MATCH($C56&amp;"|"&amp;$G56,'02_Схемы оплаты'!$H$4:$H$19,0)),0)</f>
        <v>0</v>
      </c>
      <c r="U56" s="11"/>
      <c r="V56" s="28"/>
      <c r="W56" s="8"/>
      <c r="X56" s="8">
        <f>IFERROR(INDEX('02_Схемы оплаты'!$D$4:$D$19,MATCH($C56&amp;"|"&amp;$G56,'02_Схемы оплаты'!$H$4:$H$19,0)),0)</f>
        <v>0</v>
      </c>
      <c r="Y56" s="11"/>
      <c r="Z56" s="28"/>
      <c r="AA56" s="8"/>
      <c r="AB56" s="8">
        <f>IFERROR(INDEX('02_Схемы оплаты'!$E$4:$E$19,MATCH($C56&amp;"|"&amp;$G56,'02_Схемы оплаты'!$H$4:$H$19,0)),0)</f>
        <v>0</v>
      </c>
      <c r="AC56" s="11"/>
      <c r="AD56" s="28"/>
      <c r="AE56" s="8"/>
      <c r="AF56" s="10"/>
      <c r="AG56" s="10"/>
      <c r="AH56" s="25">
        <f>IFERROR(SUMIFS('04_Потребность'!$D$4:$D$103,'04_Потребность'!$A$4:$A$103,A56,'04_Потребность'!$C$4:$C$103,B56),0)</f>
        <v>0</v>
      </c>
      <c r="AI56" s="26" t="str">
        <f>IF(OR(A56="",B56=""),"",IFERROR(SUMIFS('04_Потребность'!$E$4:$E$103,'04_Потребность'!$A$4:$A$103,A56,'04_Потребность'!$C$4:$C$103,B56),0))</f>
        <v/>
      </c>
      <c r="AJ56" s="25" t="str">
        <f>IF(OR(A56="",B56=""),"",IFERROR(SUMIFS('04_Потребность'!$F$4:$F$103,'04_Потребность'!$A$4:$A$103,A56,'04_Потребность'!$C$4:$C$103,B56),0))</f>
        <v/>
      </c>
      <c r="AK56" s="29" t="str">
        <f>IF(OR(A56="",B56=""),"",IFERROR(SUMIFS('04_Потребность'!$G$4:$G$103,'04_Потребность'!$A$4:$A$103,A56,'04_Потребность'!$C$4:$C$103,B56),0))</f>
        <v/>
      </c>
      <c r="AL56" s="25" t="str">
        <f>IF('03_Настройки'!$B$7="Нет","Нет",IF(COUNTIFS('04_Потребность'!$A$4:$A$103,A56,'04_Потребность'!$C$4:$C$103,B56,'04_Потребность'!$H$4:$H$103,"Да")&gt;0,"Да","Нет"))</f>
        <v>Нет</v>
      </c>
      <c r="AM56" s="30">
        <f t="shared" si="20"/>
        <v>0</v>
      </c>
      <c r="AN56" s="30">
        <f t="shared" si="21"/>
        <v>0</v>
      </c>
      <c r="AO56" s="29">
        <f t="shared" si="22"/>
        <v>0</v>
      </c>
      <c r="AP56" s="29">
        <f t="shared" si="23"/>
        <v>0</v>
      </c>
      <c r="AQ56" s="29">
        <f t="shared" si="24"/>
        <v>0</v>
      </c>
      <c r="AR56" s="29">
        <f>IFERROR(E56*'03_Настройки'!$B$4/365*(IF(T56&gt;0,T56*V56*(1+W56)*MAX(0,N56-U56),0)+IF(X56&gt;0,X56*Z56*(1+AA56)*MAX(0,N56-Y56),0)+IF(AB56&gt;0,AB56*AD56*(1+AE56)*MAX(0,N56-AC56),0)),0)</f>
        <v>0</v>
      </c>
      <c r="AS56" s="29">
        <f t="shared" si="25"/>
        <v>0</v>
      </c>
      <c r="AT56" s="31">
        <f t="shared" si="26"/>
        <v>0</v>
      </c>
      <c r="AU56" s="31">
        <f t="shared" si="27"/>
        <v>0</v>
      </c>
      <c r="AV56" s="32">
        <f t="shared" si="28"/>
        <v>0</v>
      </c>
      <c r="AW56" s="29" t="e">
        <f t="shared" si="29"/>
        <v>#VALUE!</v>
      </c>
      <c r="AX56" s="29">
        <f t="shared" si="30"/>
        <v>0</v>
      </c>
      <c r="AY56" s="29" t="e">
        <f t="shared" si="31"/>
        <v>#VALUE!</v>
      </c>
      <c r="AZ56" s="25" t="str">
        <f>IF(AND(A56&lt;&gt;"",B56&lt;&gt;"",C56&lt;&gt;"",D56&gt;0,E56&gt;0,N56&lt;&gt;"",AH56&gt;0,O56="Да",P56="Да",BZ56="ПОЛНО",ABS(AN56-1)&lt;='03_Настройки'!$B$5,IF(T56&gt;0,AND(U56&lt;&gt;"",V56&gt;0),TRUE()),IF(X56&gt;0,AND(Y56&lt;&gt;"",Z56&gt;0),TRUE()),IF(AB56&gt;0,AND(AC56&lt;&gt;"",AD56&gt;0),TRUE()),OR(BM56="",BM56="Активна")),"Да","Нет")</f>
        <v>Нет</v>
      </c>
      <c r="BA56" s="25" t="str">
        <f t="shared" si="32"/>
        <v>Нет</v>
      </c>
      <c r="BB56" s="25" t="str">
        <f t="shared" si="33"/>
        <v/>
      </c>
      <c r="BC56" s="25" t="str">
        <f t="shared" si="34"/>
        <v/>
      </c>
      <c r="BD56" s="25" t="str">
        <f t="shared" si="35"/>
        <v/>
      </c>
      <c r="BE56" s="25" t="str">
        <f>IF(A56="","",IF(BZ56&lt;&gt;"ПОЛНО","BLOCK: неполная форма",IF(O56&lt;&gt;"Да","BLOCK: ввоз не разрешён",IF(P56&lt;&gt;"Да","BLOCK: документы не подтверждены",IF(ABS(AN56-1)&gt;'03_Настройки'!$B$5,"BLOCK: платежи не 100%",IF(AND(BM56&lt;&gt;"",BM56&lt;&gt;"Активна"),"BLOCK: позиция "&amp;BM56,IF(BA56&lt;&gt;"Да","PARTIAL: не покрывает потребность",IF(BB56="ДА","самый дешёвый"&amp;IF(BC56="ДА"," + быстрый","")&amp;IF(BD56="ДА"," + optimal",""),IF(BC56="ДА","самый быстрый"&amp;IF(BD56="ДА"," + optimal",""),IF(BD56="ДА","optimal","Допущен"))))))))))</f>
        <v/>
      </c>
      <c r="BF56" s="25">
        <f>ROW()</f>
        <v>56</v>
      </c>
      <c r="BG56" s="33"/>
      <c r="BH56" s="33"/>
      <c r="BI56" s="33"/>
      <c r="BJ56" s="33"/>
      <c r="BK56" s="33"/>
      <c r="BL56" s="34"/>
      <c r="BM56" s="33"/>
      <c r="BN56" s="35" t="str">
        <f t="shared" si="36"/>
        <v/>
      </c>
      <c r="BO56" s="36" t="str">
        <f t="shared" si="37"/>
        <v/>
      </c>
      <c r="BP56" s="33"/>
      <c r="BQ56" s="38"/>
      <c r="BR56" s="13"/>
      <c r="BS56" s="13"/>
      <c r="BT56" s="13"/>
      <c r="BU56" s="13"/>
      <c r="BV56" s="13"/>
      <c r="BW56" s="13"/>
      <c r="BX56" s="39" t="str">
        <f t="shared" si="38"/>
        <v/>
      </c>
      <c r="BY56" s="47"/>
      <c r="BZ56" s="48" t="str">
        <f t="shared" si="39"/>
        <v/>
      </c>
      <c r="CA56" s="47"/>
      <c r="CB56" s="47"/>
      <c r="CC56" s="47"/>
    </row>
    <row r="57" spans="1:81" ht="14.25" x14ac:dyDescent="0.45">
      <c r="A57" s="10"/>
      <c r="B57" s="10"/>
      <c r="C57" s="10"/>
      <c r="D57" s="10"/>
      <c r="E57" s="10"/>
      <c r="F57" s="10"/>
      <c r="G57" s="10"/>
      <c r="H57" s="25" t="str">
        <f>IFERROR(VLOOKUP(C57,'01_Поставщики'!$A$4:$M$11,2,FALSE()),"")</f>
        <v/>
      </c>
      <c r="I57" s="10"/>
      <c r="J57" s="25" t="str">
        <f>IFERROR(VLOOKUP(C57,'01_Поставщики'!$A$4:$M$11,8,FALSE()),"")</f>
        <v/>
      </c>
      <c r="K57" s="25" t="str">
        <f>IFERROR(VLOOKUP(C57,'01_Поставщики'!$A$4:$M$11,4,FALSE()),"")</f>
        <v/>
      </c>
      <c r="L57" s="25" t="str">
        <f>IFERROR(VLOOKUP(C57,'01_Поставщики'!$A$4:$M$11,10,FALSE()),"")</f>
        <v/>
      </c>
      <c r="M57" s="26" t="str">
        <f>IF(OR(A57="",B57=""),"",IFERROR(SUMIFS('04_Потребность'!$B$4:$B$103,'04_Потребность'!$A$4:$A$103,A57,'04_Потребность'!$C$4:$C$103,B57),0))</f>
        <v/>
      </c>
      <c r="N57" s="11"/>
      <c r="O57" s="10"/>
      <c r="P57" s="10"/>
      <c r="Q57" s="27"/>
      <c r="R57" s="27"/>
      <c r="S57" s="8"/>
      <c r="T57" s="8">
        <f>IFERROR(INDEX('02_Схемы оплаты'!$C$4:$C$19,MATCH($C57&amp;"|"&amp;$G57,'02_Схемы оплаты'!$H$4:$H$19,0)),0)</f>
        <v>0</v>
      </c>
      <c r="U57" s="11"/>
      <c r="V57" s="28"/>
      <c r="W57" s="8"/>
      <c r="X57" s="8">
        <f>IFERROR(INDEX('02_Схемы оплаты'!$D$4:$D$19,MATCH($C57&amp;"|"&amp;$G57,'02_Схемы оплаты'!$H$4:$H$19,0)),0)</f>
        <v>0</v>
      </c>
      <c r="Y57" s="11"/>
      <c r="Z57" s="28"/>
      <c r="AA57" s="8"/>
      <c r="AB57" s="8">
        <f>IFERROR(INDEX('02_Схемы оплаты'!$E$4:$E$19,MATCH($C57&amp;"|"&amp;$G57,'02_Схемы оплаты'!$H$4:$H$19,0)),0)</f>
        <v>0</v>
      </c>
      <c r="AC57" s="11"/>
      <c r="AD57" s="28"/>
      <c r="AE57" s="8"/>
      <c r="AF57" s="10"/>
      <c r="AG57" s="10"/>
      <c r="AH57" s="25">
        <f>IFERROR(SUMIFS('04_Потребность'!$D$4:$D$103,'04_Потребность'!$A$4:$A$103,A57,'04_Потребность'!$C$4:$C$103,B57),0)</f>
        <v>0</v>
      </c>
      <c r="AI57" s="26" t="str">
        <f>IF(OR(A57="",B57=""),"",IFERROR(SUMIFS('04_Потребность'!$E$4:$E$103,'04_Потребность'!$A$4:$A$103,A57,'04_Потребность'!$C$4:$C$103,B57),0))</f>
        <v/>
      </c>
      <c r="AJ57" s="25" t="str">
        <f>IF(OR(A57="",B57=""),"",IFERROR(SUMIFS('04_Потребность'!$F$4:$F$103,'04_Потребность'!$A$4:$A$103,A57,'04_Потребность'!$C$4:$C$103,B57),0))</f>
        <v/>
      </c>
      <c r="AK57" s="29" t="str">
        <f>IF(OR(A57="",B57=""),"",IFERROR(SUMIFS('04_Потребность'!$G$4:$G$103,'04_Потребность'!$A$4:$A$103,A57,'04_Потребность'!$C$4:$C$103,B57),0))</f>
        <v/>
      </c>
      <c r="AL57" s="25" t="str">
        <f>IF('03_Настройки'!$B$7="Нет","Нет",IF(COUNTIFS('04_Потребность'!$A$4:$A$103,A57,'04_Потребность'!$C$4:$C$103,B57,'04_Потребность'!$H$4:$H$103,"Да")&gt;0,"Да","Нет"))</f>
        <v>Нет</v>
      </c>
      <c r="AM57" s="30">
        <f t="shared" si="20"/>
        <v>0</v>
      </c>
      <c r="AN57" s="30">
        <f t="shared" si="21"/>
        <v>0</v>
      </c>
      <c r="AO57" s="29">
        <f t="shared" si="22"/>
        <v>0</v>
      </c>
      <c r="AP57" s="29">
        <f t="shared" si="23"/>
        <v>0</v>
      </c>
      <c r="AQ57" s="29">
        <f t="shared" si="24"/>
        <v>0</v>
      </c>
      <c r="AR57" s="29">
        <f>IFERROR(E57*'03_Настройки'!$B$4/365*(IF(T57&gt;0,T57*V57*(1+W57)*MAX(0,N57-U57),0)+IF(X57&gt;0,X57*Z57*(1+AA57)*MAX(0,N57-Y57),0)+IF(AB57&gt;0,AB57*AD57*(1+AE57)*MAX(0,N57-AC57),0)),0)</f>
        <v>0</v>
      </c>
      <c r="AS57" s="29">
        <f t="shared" si="25"/>
        <v>0</v>
      </c>
      <c r="AT57" s="31">
        <f t="shared" si="26"/>
        <v>0</v>
      </c>
      <c r="AU57" s="31">
        <f t="shared" si="27"/>
        <v>0</v>
      </c>
      <c r="AV57" s="32">
        <f t="shared" si="28"/>
        <v>0</v>
      </c>
      <c r="AW57" s="29" t="e">
        <f t="shared" si="29"/>
        <v>#VALUE!</v>
      </c>
      <c r="AX57" s="29">
        <f t="shared" si="30"/>
        <v>0</v>
      </c>
      <c r="AY57" s="29" t="e">
        <f t="shared" si="31"/>
        <v>#VALUE!</v>
      </c>
      <c r="AZ57" s="25" t="str">
        <f>IF(AND(A57&lt;&gt;"",B57&lt;&gt;"",C57&lt;&gt;"",D57&gt;0,E57&gt;0,N57&lt;&gt;"",AH57&gt;0,O57="Да",P57="Да",BZ57="ПОЛНО",ABS(AN57-1)&lt;='03_Настройки'!$B$5,IF(T57&gt;0,AND(U57&lt;&gt;"",V57&gt;0),TRUE()),IF(X57&gt;0,AND(Y57&lt;&gt;"",Z57&gt;0),TRUE()),IF(AB57&gt;0,AND(AC57&lt;&gt;"",AD57&gt;0),TRUE()),OR(BM57="",BM57="Активна")),"Да","Нет")</f>
        <v>Нет</v>
      </c>
      <c r="BA57" s="25" t="str">
        <f t="shared" si="32"/>
        <v>Нет</v>
      </c>
      <c r="BB57" s="25" t="str">
        <f t="shared" si="33"/>
        <v/>
      </c>
      <c r="BC57" s="25" t="str">
        <f t="shared" si="34"/>
        <v/>
      </c>
      <c r="BD57" s="25" t="str">
        <f t="shared" si="35"/>
        <v/>
      </c>
      <c r="BE57" s="25" t="str">
        <f>IF(A57="","",IF(BZ57&lt;&gt;"ПОЛНО","BLOCK: неполная форма",IF(O57&lt;&gt;"Да","BLOCK: ввоз не разрешён",IF(P57&lt;&gt;"Да","BLOCK: документы не подтверждены",IF(ABS(AN57-1)&gt;'03_Настройки'!$B$5,"BLOCK: платежи не 100%",IF(AND(BM57&lt;&gt;"",BM57&lt;&gt;"Активна"),"BLOCK: позиция "&amp;BM57,IF(BA57&lt;&gt;"Да","PARTIAL: не покрывает потребность",IF(BB57="ДА","самый дешёвый"&amp;IF(BC57="ДА"," + быстрый","")&amp;IF(BD57="ДА"," + optimal",""),IF(BC57="ДА","самый быстрый"&amp;IF(BD57="ДА"," + optimal",""),IF(BD57="ДА","optimal","Допущен"))))))))))</f>
        <v/>
      </c>
      <c r="BF57" s="25">
        <f>ROW()</f>
        <v>57</v>
      </c>
      <c r="BG57" s="33"/>
      <c r="BH57" s="33"/>
      <c r="BI57" s="33"/>
      <c r="BJ57" s="33"/>
      <c r="BK57" s="33"/>
      <c r="BL57" s="34"/>
      <c r="BM57" s="33"/>
      <c r="BN57" s="35" t="str">
        <f t="shared" si="36"/>
        <v/>
      </c>
      <c r="BO57" s="36" t="str">
        <f t="shared" si="37"/>
        <v/>
      </c>
      <c r="BP57" s="33"/>
      <c r="BQ57" s="38"/>
      <c r="BR57" s="13"/>
      <c r="BS57" s="13"/>
      <c r="BT57" s="13"/>
      <c r="BU57" s="13"/>
      <c r="BV57" s="13"/>
      <c r="BW57" s="13"/>
      <c r="BX57" s="39" t="str">
        <f t="shared" si="38"/>
        <v/>
      </c>
      <c r="BY57" s="47"/>
      <c r="BZ57" s="48" t="str">
        <f t="shared" si="39"/>
        <v/>
      </c>
      <c r="CA57" s="47"/>
      <c r="CB57" s="47"/>
      <c r="CC57" s="47"/>
    </row>
    <row r="58" spans="1:81" ht="14.25" x14ac:dyDescent="0.45">
      <c r="A58" s="10"/>
      <c r="B58" s="10"/>
      <c r="C58" s="10"/>
      <c r="D58" s="10"/>
      <c r="E58" s="10"/>
      <c r="F58" s="10"/>
      <c r="G58" s="10"/>
      <c r="H58" s="25" t="str">
        <f>IFERROR(VLOOKUP(C58,'01_Поставщики'!$A$4:$M$11,2,FALSE()),"")</f>
        <v/>
      </c>
      <c r="I58" s="10"/>
      <c r="J58" s="25" t="str">
        <f>IFERROR(VLOOKUP(C58,'01_Поставщики'!$A$4:$M$11,8,FALSE()),"")</f>
        <v/>
      </c>
      <c r="K58" s="25" t="str">
        <f>IFERROR(VLOOKUP(C58,'01_Поставщики'!$A$4:$M$11,4,FALSE()),"")</f>
        <v/>
      </c>
      <c r="L58" s="25" t="str">
        <f>IFERROR(VLOOKUP(C58,'01_Поставщики'!$A$4:$M$11,10,FALSE()),"")</f>
        <v/>
      </c>
      <c r="M58" s="26" t="str">
        <f>IF(OR(A58="",B58=""),"",IFERROR(SUMIFS('04_Потребность'!$B$4:$B$103,'04_Потребность'!$A$4:$A$103,A58,'04_Потребность'!$C$4:$C$103,B58),0))</f>
        <v/>
      </c>
      <c r="N58" s="11"/>
      <c r="O58" s="10"/>
      <c r="P58" s="10"/>
      <c r="Q58" s="27"/>
      <c r="R58" s="27"/>
      <c r="S58" s="8"/>
      <c r="T58" s="8">
        <f>IFERROR(INDEX('02_Схемы оплаты'!$C$4:$C$19,MATCH($C58&amp;"|"&amp;$G58,'02_Схемы оплаты'!$H$4:$H$19,0)),0)</f>
        <v>0</v>
      </c>
      <c r="U58" s="11"/>
      <c r="V58" s="28"/>
      <c r="W58" s="8"/>
      <c r="X58" s="8">
        <f>IFERROR(INDEX('02_Схемы оплаты'!$D$4:$D$19,MATCH($C58&amp;"|"&amp;$G58,'02_Схемы оплаты'!$H$4:$H$19,0)),0)</f>
        <v>0</v>
      </c>
      <c r="Y58" s="11"/>
      <c r="Z58" s="28"/>
      <c r="AA58" s="8"/>
      <c r="AB58" s="8">
        <f>IFERROR(INDEX('02_Схемы оплаты'!$E$4:$E$19,MATCH($C58&amp;"|"&amp;$G58,'02_Схемы оплаты'!$H$4:$H$19,0)),0)</f>
        <v>0</v>
      </c>
      <c r="AC58" s="11"/>
      <c r="AD58" s="28"/>
      <c r="AE58" s="8"/>
      <c r="AF58" s="10"/>
      <c r="AG58" s="10"/>
      <c r="AH58" s="25">
        <f>IFERROR(SUMIFS('04_Потребность'!$D$4:$D$103,'04_Потребность'!$A$4:$A$103,A58,'04_Потребность'!$C$4:$C$103,B58),0)</f>
        <v>0</v>
      </c>
      <c r="AI58" s="26" t="str">
        <f>IF(OR(A58="",B58=""),"",IFERROR(SUMIFS('04_Потребность'!$E$4:$E$103,'04_Потребность'!$A$4:$A$103,A58,'04_Потребность'!$C$4:$C$103,B58),0))</f>
        <v/>
      </c>
      <c r="AJ58" s="25" t="str">
        <f>IF(OR(A58="",B58=""),"",IFERROR(SUMIFS('04_Потребность'!$F$4:$F$103,'04_Потребность'!$A$4:$A$103,A58,'04_Потребность'!$C$4:$C$103,B58),0))</f>
        <v/>
      </c>
      <c r="AK58" s="29" t="str">
        <f>IF(OR(A58="",B58=""),"",IFERROR(SUMIFS('04_Потребность'!$G$4:$G$103,'04_Потребность'!$A$4:$A$103,A58,'04_Потребность'!$C$4:$C$103,B58),0))</f>
        <v/>
      </c>
      <c r="AL58" s="25" t="str">
        <f>IF('03_Настройки'!$B$7="Нет","Нет",IF(COUNTIFS('04_Потребность'!$A$4:$A$103,A58,'04_Потребность'!$C$4:$C$103,B58,'04_Потребность'!$H$4:$H$103,"Да")&gt;0,"Да","Нет"))</f>
        <v>Нет</v>
      </c>
      <c r="AM58" s="30">
        <f t="shared" si="20"/>
        <v>0</v>
      </c>
      <c r="AN58" s="30">
        <f t="shared" si="21"/>
        <v>0</v>
      </c>
      <c r="AO58" s="29">
        <f t="shared" si="22"/>
        <v>0</v>
      </c>
      <c r="AP58" s="29">
        <f t="shared" si="23"/>
        <v>0</v>
      </c>
      <c r="AQ58" s="29">
        <f t="shared" si="24"/>
        <v>0</v>
      </c>
      <c r="AR58" s="29">
        <f>IFERROR(E58*'03_Настройки'!$B$4/365*(IF(T58&gt;0,T58*V58*(1+W58)*MAX(0,N58-U58),0)+IF(X58&gt;0,X58*Z58*(1+AA58)*MAX(0,N58-Y58),0)+IF(AB58&gt;0,AB58*AD58*(1+AE58)*MAX(0,N58-AC58),0)),0)</f>
        <v>0</v>
      </c>
      <c r="AS58" s="29">
        <f t="shared" si="25"/>
        <v>0</v>
      </c>
      <c r="AT58" s="31">
        <f t="shared" si="26"/>
        <v>0</v>
      </c>
      <c r="AU58" s="31">
        <f t="shared" si="27"/>
        <v>0</v>
      </c>
      <c r="AV58" s="32">
        <f t="shared" si="28"/>
        <v>0</v>
      </c>
      <c r="AW58" s="29" t="e">
        <f t="shared" si="29"/>
        <v>#VALUE!</v>
      </c>
      <c r="AX58" s="29">
        <f t="shared" si="30"/>
        <v>0</v>
      </c>
      <c r="AY58" s="29" t="e">
        <f t="shared" si="31"/>
        <v>#VALUE!</v>
      </c>
      <c r="AZ58" s="25" t="str">
        <f>IF(AND(A58&lt;&gt;"",B58&lt;&gt;"",C58&lt;&gt;"",D58&gt;0,E58&gt;0,N58&lt;&gt;"",AH58&gt;0,O58="Да",P58="Да",BZ58="ПОЛНО",ABS(AN58-1)&lt;='03_Настройки'!$B$5,IF(T58&gt;0,AND(U58&lt;&gt;"",V58&gt;0),TRUE()),IF(X58&gt;0,AND(Y58&lt;&gt;"",Z58&gt;0),TRUE()),IF(AB58&gt;0,AND(AC58&lt;&gt;"",AD58&gt;0),TRUE()),OR(BM58="",BM58="Активна")),"Да","Нет")</f>
        <v>Нет</v>
      </c>
      <c r="BA58" s="25" t="str">
        <f t="shared" si="32"/>
        <v>Нет</v>
      </c>
      <c r="BB58" s="25" t="str">
        <f t="shared" si="33"/>
        <v/>
      </c>
      <c r="BC58" s="25" t="str">
        <f t="shared" si="34"/>
        <v/>
      </c>
      <c r="BD58" s="25" t="str">
        <f t="shared" si="35"/>
        <v/>
      </c>
      <c r="BE58" s="25" t="str">
        <f>IF(A58="","",IF(BZ58&lt;&gt;"ПОЛНО","BLOCK: неполная форма",IF(O58&lt;&gt;"Да","BLOCK: ввоз не разрешён",IF(P58&lt;&gt;"Да","BLOCK: документы не подтверждены",IF(ABS(AN58-1)&gt;'03_Настройки'!$B$5,"BLOCK: платежи не 100%",IF(AND(BM58&lt;&gt;"",BM58&lt;&gt;"Активна"),"BLOCK: позиция "&amp;BM58,IF(BA58&lt;&gt;"Да","PARTIAL: не покрывает потребность",IF(BB58="ДА","самый дешёвый"&amp;IF(BC58="ДА"," + быстрый","")&amp;IF(BD58="ДА"," + optimal",""),IF(BC58="ДА","самый быстрый"&amp;IF(BD58="ДА"," + optimal",""),IF(BD58="ДА","optimal","Допущен"))))))))))</f>
        <v/>
      </c>
      <c r="BF58" s="25">
        <f>ROW()</f>
        <v>58</v>
      </c>
      <c r="BG58" s="33"/>
      <c r="BH58" s="33"/>
      <c r="BI58" s="33"/>
      <c r="BJ58" s="33"/>
      <c r="BK58" s="33"/>
      <c r="BL58" s="34"/>
      <c r="BM58" s="33"/>
      <c r="BN58" s="35" t="str">
        <f t="shared" si="36"/>
        <v/>
      </c>
      <c r="BO58" s="36" t="str">
        <f t="shared" si="37"/>
        <v/>
      </c>
      <c r="BP58" s="33"/>
      <c r="BQ58" s="38"/>
      <c r="BR58" s="13"/>
      <c r="BS58" s="13"/>
      <c r="BT58" s="13"/>
      <c r="BU58" s="13"/>
      <c r="BV58" s="13"/>
      <c r="BW58" s="13"/>
      <c r="BX58" s="39" t="str">
        <f t="shared" si="38"/>
        <v/>
      </c>
      <c r="BY58" s="47"/>
      <c r="BZ58" s="48" t="str">
        <f t="shared" si="39"/>
        <v/>
      </c>
      <c r="CA58" s="47"/>
      <c r="CB58" s="47"/>
      <c r="CC58" s="47"/>
    </row>
    <row r="59" spans="1:81" ht="14.25" x14ac:dyDescent="0.45">
      <c r="A59" s="10"/>
      <c r="B59" s="10"/>
      <c r="C59" s="10"/>
      <c r="D59" s="10"/>
      <c r="E59" s="10"/>
      <c r="F59" s="10"/>
      <c r="G59" s="10"/>
      <c r="H59" s="25" t="str">
        <f>IFERROR(VLOOKUP(C59,'01_Поставщики'!$A$4:$M$11,2,FALSE()),"")</f>
        <v/>
      </c>
      <c r="I59" s="10"/>
      <c r="J59" s="25" t="str">
        <f>IFERROR(VLOOKUP(C59,'01_Поставщики'!$A$4:$M$11,8,FALSE()),"")</f>
        <v/>
      </c>
      <c r="K59" s="25" t="str">
        <f>IFERROR(VLOOKUP(C59,'01_Поставщики'!$A$4:$M$11,4,FALSE()),"")</f>
        <v/>
      </c>
      <c r="L59" s="25" t="str">
        <f>IFERROR(VLOOKUP(C59,'01_Поставщики'!$A$4:$M$11,10,FALSE()),"")</f>
        <v/>
      </c>
      <c r="M59" s="26" t="str">
        <f>IF(OR(A59="",B59=""),"",IFERROR(SUMIFS('04_Потребность'!$B$4:$B$103,'04_Потребность'!$A$4:$A$103,A59,'04_Потребность'!$C$4:$C$103,B59),0))</f>
        <v/>
      </c>
      <c r="N59" s="11"/>
      <c r="O59" s="10"/>
      <c r="P59" s="10"/>
      <c r="Q59" s="27"/>
      <c r="R59" s="27"/>
      <c r="S59" s="8"/>
      <c r="T59" s="8">
        <f>IFERROR(INDEX('02_Схемы оплаты'!$C$4:$C$19,MATCH($C59&amp;"|"&amp;$G59,'02_Схемы оплаты'!$H$4:$H$19,0)),0)</f>
        <v>0</v>
      </c>
      <c r="U59" s="11"/>
      <c r="V59" s="28"/>
      <c r="W59" s="8"/>
      <c r="X59" s="8">
        <f>IFERROR(INDEX('02_Схемы оплаты'!$D$4:$D$19,MATCH($C59&amp;"|"&amp;$G59,'02_Схемы оплаты'!$H$4:$H$19,0)),0)</f>
        <v>0</v>
      </c>
      <c r="Y59" s="11"/>
      <c r="Z59" s="28"/>
      <c r="AA59" s="8"/>
      <c r="AB59" s="8">
        <f>IFERROR(INDEX('02_Схемы оплаты'!$E$4:$E$19,MATCH($C59&amp;"|"&amp;$G59,'02_Схемы оплаты'!$H$4:$H$19,0)),0)</f>
        <v>0</v>
      </c>
      <c r="AC59" s="11"/>
      <c r="AD59" s="28"/>
      <c r="AE59" s="8"/>
      <c r="AF59" s="10"/>
      <c r="AG59" s="10"/>
      <c r="AH59" s="25">
        <f>IFERROR(SUMIFS('04_Потребность'!$D$4:$D$103,'04_Потребность'!$A$4:$A$103,A59,'04_Потребность'!$C$4:$C$103,B59),0)</f>
        <v>0</v>
      </c>
      <c r="AI59" s="26" t="str">
        <f>IF(OR(A59="",B59=""),"",IFERROR(SUMIFS('04_Потребность'!$E$4:$E$103,'04_Потребность'!$A$4:$A$103,A59,'04_Потребность'!$C$4:$C$103,B59),0))</f>
        <v/>
      </c>
      <c r="AJ59" s="25" t="str">
        <f>IF(OR(A59="",B59=""),"",IFERROR(SUMIFS('04_Потребность'!$F$4:$F$103,'04_Потребность'!$A$4:$A$103,A59,'04_Потребность'!$C$4:$C$103,B59),0))</f>
        <v/>
      </c>
      <c r="AK59" s="29" t="str">
        <f>IF(OR(A59="",B59=""),"",IFERROR(SUMIFS('04_Потребность'!$G$4:$G$103,'04_Потребность'!$A$4:$A$103,A59,'04_Потребность'!$C$4:$C$103,B59),0))</f>
        <v/>
      </c>
      <c r="AL59" s="25" t="str">
        <f>IF('03_Настройки'!$B$7="Нет","Нет",IF(COUNTIFS('04_Потребность'!$A$4:$A$103,A59,'04_Потребность'!$C$4:$C$103,B59,'04_Потребность'!$H$4:$H$103,"Да")&gt;0,"Да","Нет"))</f>
        <v>Нет</v>
      </c>
      <c r="AM59" s="30">
        <f t="shared" si="20"/>
        <v>0</v>
      </c>
      <c r="AN59" s="30">
        <f t="shared" si="21"/>
        <v>0</v>
      </c>
      <c r="AO59" s="29">
        <f t="shared" si="22"/>
        <v>0</v>
      </c>
      <c r="AP59" s="29">
        <f t="shared" si="23"/>
        <v>0</v>
      </c>
      <c r="AQ59" s="29">
        <f t="shared" si="24"/>
        <v>0</v>
      </c>
      <c r="AR59" s="29">
        <f>IFERROR(E59*'03_Настройки'!$B$4/365*(IF(T59&gt;0,T59*V59*(1+W59)*MAX(0,N59-U59),0)+IF(X59&gt;0,X59*Z59*(1+AA59)*MAX(0,N59-Y59),0)+IF(AB59&gt;0,AB59*AD59*(1+AE59)*MAX(0,N59-AC59),0)),0)</f>
        <v>0</v>
      </c>
      <c r="AS59" s="29">
        <f t="shared" si="25"/>
        <v>0</v>
      </c>
      <c r="AT59" s="31">
        <f t="shared" si="26"/>
        <v>0</v>
      </c>
      <c r="AU59" s="31">
        <f t="shared" si="27"/>
        <v>0</v>
      </c>
      <c r="AV59" s="32">
        <f t="shared" si="28"/>
        <v>0</v>
      </c>
      <c r="AW59" s="29" t="e">
        <f t="shared" si="29"/>
        <v>#VALUE!</v>
      </c>
      <c r="AX59" s="29">
        <f t="shared" si="30"/>
        <v>0</v>
      </c>
      <c r="AY59" s="29" t="e">
        <f t="shared" si="31"/>
        <v>#VALUE!</v>
      </c>
      <c r="AZ59" s="25" t="str">
        <f>IF(AND(A59&lt;&gt;"",B59&lt;&gt;"",C59&lt;&gt;"",D59&gt;0,E59&gt;0,N59&lt;&gt;"",AH59&gt;0,O59="Да",P59="Да",BZ59="ПОЛНО",ABS(AN59-1)&lt;='03_Настройки'!$B$5,IF(T59&gt;0,AND(U59&lt;&gt;"",V59&gt;0),TRUE()),IF(X59&gt;0,AND(Y59&lt;&gt;"",Z59&gt;0),TRUE()),IF(AB59&gt;0,AND(AC59&lt;&gt;"",AD59&gt;0),TRUE()),OR(BM59="",BM59="Активна")),"Да","Нет")</f>
        <v>Нет</v>
      </c>
      <c r="BA59" s="25" t="str">
        <f t="shared" si="32"/>
        <v>Нет</v>
      </c>
      <c r="BB59" s="25" t="str">
        <f t="shared" si="33"/>
        <v/>
      </c>
      <c r="BC59" s="25" t="str">
        <f t="shared" si="34"/>
        <v/>
      </c>
      <c r="BD59" s="25" t="str">
        <f t="shared" si="35"/>
        <v/>
      </c>
      <c r="BE59" s="25" t="str">
        <f>IF(A59="","",IF(BZ59&lt;&gt;"ПОЛНО","BLOCK: неполная форма",IF(O59&lt;&gt;"Да","BLOCK: ввоз не разрешён",IF(P59&lt;&gt;"Да","BLOCK: документы не подтверждены",IF(ABS(AN59-1)&gt;'03_Настройки'!$B$5,"BLOCK: платежи не 100%",IF(AND(BM59&lt;&gt;"",BM59&lt;&gt;"Активна"),"BLOCK: позиция "&amp;BM59,IF(BA59&lt;&gt;"Да","PARTIAL: не покрывает потребность",IF(BB59="ДА","самый дешёвый"&amp;IF(BC59="ДА"," + быстрый","")&amp;IF(BD59="ДА"," + optimal",""),IF(BC59="ДА","самый быстрый"&amp;IF(BD59="ДА"," + optimal",""),IF(BD59="ДА","optimal","Допущен"))))))))))</f>
        <v/>
      </c>
      <c r="BF59" s="25">
        <f>ROW()</f>
        <v>59</v>
      </c>
      <c r="BG59" s="33"/>
      <c r="BH59" s="33"/>
      <c r="BI59" s="33"/>
      <c r="BJ59" s="33"/>
      <c r="BK59" s="33"/>
      <c r="BL59" s="34"/>
      <c r="BM59" s="33"/>
      <c r="BN59" s="35" t="str">
        <f t="shared" si="36"/>
        <v/>
      </c>
      <c r="BO59" s="36" t="str">
        <f t="shared" si="37"/>
        <v/>
      </c>
      <c r="BP59" s="33"/>
      <c r="BQ59" s="38"/>
      <c r="BR59" s="13"/>
      <c r="BS59" s="13"/>
      <c r="BT59" s="13"/>
      <c r="BU59" s="13"/>
      <c r="BV59" s="13"/>
      <c r="BW59" s="13"/>
      <c r="BX59" s="39" t="str">
        <f t="shared" si="38"/>
        <v/>
      </c>
      <c r="BY59" s="47"/>
      <c r="BZ59" s="48" t="str">
        <f t="shared" si="39"/>
        <v/>
      </c>
      <c r="CA59" s="47"/>
      <c r="CB59" s="47"/>
      <c r="CC59" s="47"/>
    </row>
    <row r="60" spans="1:81" ht="14.25" x14ac:dyDescent="0.45">
      <c r="A60" s="10"/>
      <c r="B60" s="10"/>
      <c r="C60" s="10"/>
      <c r="D60" s="10"/>
      <c r="E60" s="10"/>
      <c r="F60" s="10"/>
      <c r="G60" s="10"/>
      <c r="H60" s="25" t="str">
        <f>IFERROR(VLOOKUP(C60,'01_Поставщики'!$A$4:$M$11,2,FALSE()),"")</f>
        <v/>
      </c>
      <c r="I60" s="10"/>
      <c r="J60" s="25" t="str">
        <f>IFERROR(VLOOKUP(C60,'01_Поставщики'!$A$4:$M$11,8,FALSE()),"")</f>
        <v/>
      </c>
      <c r="K60" s="25" t="str">
        <f>IFERROR(VLOOKUP(C60,'01_Поставщики'!$A$4:$M$11,4,FALSE()),"")</f>
        <v/>
      </c>
      <c r="L60" s="25" t="str">
        <f>IFERROR(VLOOKUP(C60,'01_Поставщики'!$A$4:$M$11,10,FALSE()),"")</f>
        <v/>
      </c>
      <c r="M60" s="26" t="str">
        <f>IF(OR(A60="",B60=""),"",IFERROR(SUMIFS('04_Потребность'!$B$4:$B$103,'04_Потребность'!$A$4:$A$103,A60,'04_Потребность'!$C$4:$C$103,B60),0))</f>
        <v/>
      </c>
      <c r="N60" s="11"/>
      <c r="O60" s="10"/>
      <c r="P60" s="10"/>
      <c r="Q60" s="27"/>
      <c r="R60" s="27"/>
      <c r="S60" s="8"/>
      <c r="T60" s="8">
        <f>IFERROR(INDEX('02_Схемы оплаты'!$C$4:$C$19,MATCH($C60&amp;"|"&amp;$G60,'02_Схемы оплаты'!$H$4:$H$19,0)),0)</f>
        <v>0</v>
      </c>
      <c r="U60" s="11"/>
      <c r="V60" s="28"/>
      <c r="W60" s="8"/>
      <c r="X60" s="8">
        <f>IFERROR(INDEX('02_Схемы оплаты'!$D$4:$D$19,MATCH($C60&amp;"|"&amp;$G60,'02_Схемы оплаты'!$H$4:$H$19,0)),0)</f>
        <v>0</v>
      </c>
      <c r="Y60" s="11"/>
      <c r="Z60" s="28"/>
      <c r="AA60" s="8"/>
      <c r="AB60" s="8">
        <f>IFERROR(INDEX('02_Схемы оплаты'!$E$4:$E$19,MATCH($C60&amp;"|"&amp;$G60,'02_Схемы оплаты'!$H$4:$H$19,0)),0)</f>
        <v>0</v>
      </c>
      <c r="AC60" s="11"/>
      <c r="AD60" s="28"/>
      <c r="AE60" s="8"/>
      <c r="AF60" s="10"/>
      <c r="AG60" s="10"/>
      <c r="AH60" s="25">
        <f>IFERROR(SUMIFS('04_Потребность'!$D$4:$D$103,'04_Потребность'!$A$4:$A$103,A60,'04_Потребность'!$C$4:$C$103,B60),0)</f>
        <v>0</v>
      </c>
      <c r="AI60" s="26" t="str">
        <f>IF(OR(A60="",B60=""),"",IFERROR(SUMIFS('04_Потребность'!$E$4:$E$103,'04_Потребность'!$A$4:$A$103,A60,'04_Потребность'!$C$4:$C$103,B60),0))</f>
        <v/>
      </c>
      <c r="AJ60" s="25" t="str">
        <f>IF(OR(A60="",B60=""),"",IFERROR(SUMIFS('04_Потребность'!$F$4:$F$103,'04_Потребность'!$A$4:$A$103,A60,'04_Потребность'!$C$4:$C$103,B60),0))</f>
        <v/>
      </c>
      <c r="AK60" s="29" t="str">
        <f>IF(OR(A60="",B60=""),"",IFERROR(SUMIFS('04_Потребность'!$G$4:$G$103,'04_Потребность'!$A$4:$A$103,A60,'04_Потребность'!$C$4:$C$103,B60),0))</f>
        <v/>
      </c>
      <c r="AL60" s="25" t="str">
        <f>IF('03_Настройки'!$B$7="Нет","Нет",IF(COUNTIFS('04_Потребность'!$A$4:$A$103,A60,'04_Потребность'!$C$4:$C$103,B60,'04_Потребность'!$H$4:$H$103,"Да")&gt;0,"Да","Нет"))</f>
        <v>Нет</v>
      </c>
      <c r="AM60" s="30">
        <f t="shared" si="20"/>
        <v>0</v>
      </c>
      <c r="AN60" s="30">
        <f t="shared" si="21"/>
        <v>0</v>
      </c>
      <c r="AO60" s="29">
        <f t="shared" si="22"/>
        <v>0</v>
      </c>
      <c r="AP60" s="29">
        <f t="shared" si="23"/>
        <v>0</v>
      </c>
      <c r="AQ60" s="29">
        <f t="shared" si="24"/>
        <v>0</v>
      </c>
      <c r="AR60" s="29">
        <f>IFERROR(E60*'03_Настройки'!$B$4/365*(IF(T60&gt;0,T60*V60*(1+W60)*MAX(0,N60-U60),0)+IF(X60&gt;0,X60*Z60*(1+AA60)*MAX(0,N60-Y60),0)+IF(AB60&gt;0,AB60*AD60*(1+AE60)*MAX(0,N60-AC60),0)),0)</f>
        <v>0</v>
      </c>
      <c r="AS60" s="29">
        <f t="shared" si="25"/>
        <v>0</v>
      </c>
      <c r="AT60" s="31">
        <f t="shared" si="26"/>
        <v>0</v>
      </c>
      <c r="AU60" s="31">
        <f t="shared" si="27"/>
        <v>0</v>
      </c>
      <c r="AV60" s="32">
        <f t="shared" si="28"/>
        <v>0</v>
      </c>
      <c r="AW60" s="29" t="e">
        <f t="shared" si="29"/>
        <v>#VALUE!</v>
      </c>
      <c r="AX60" s="29">
        <f t="shared" si="30"/>
        <v>0</v>
      </c>
      <c r="AY60" s="29" t="e">
        <f t="shared" si="31"/>
        <v>#VALUE!</v>
      </c>
      <c r="AZ60" s="25" t="str">
        <f>IF(AND(A60&lt;&gt;"",B60&lt;&gt;"",C60&lt;&gt;"",D60&gt;0,E60&gt;0,N60&lt;&gt;"",AH60&gt;0,O60="Да",P60="Да",BZ60="ПОЛНО",ABS(AN60-1)&lt;='03_Настройки'!$B$5,IF(T60&gt;0,AND(U60&lt;&gt;"",V60&gt;0),TRUE()),IF(X60&gt;0,AND(Y60&lt;&gt;"",Z60&gt;0),TRUE()),IF(AB60&gt;0,AND(AC60&lt;&gt;"",AD60&gt;0),TRUE()),OR(BM60="",BM60="Активна")),"Да","Нет")</f>
        <v>Нет</v>
      </c>
      <c r="BA60" s="25" t="str">
        <f t="shared" si="32"/>
        <v>Нет</v>
      </c>
      <c r="BB60" s="25" t="str">
        <f t="shared" si="33"/>
        <v/>
      </c>
      <c r="BC60" s="25" t="str">
        <f t="shared" si="34"/>
        <v/>
      </c>
      <c r="BD60" s="25" t="str">
        <f t="shared" si="35"/>
        <v/>
      </c>
      <c r="BE60" s="25" t="str">
        <f>IF(A60="","",IF(BZ60&lt;&gt;"ПОЛНО","BLOCK: неполная форма",IF(O60&lt;&gt;"Да","BLOCK: ввоз не разрешён",IF(P60&lt;&gt;"Да","BLOCK: документы не подтверждены",IF(ABS(AN60-1)&gt;'03_Настройки'!$B$5,"BLOCK: платежи не 100%",IF(AND(BM60&lt;&gt;"",BM60&lt;&gt;"Активна"),"BLOCK: позиция "&amp;BM60,IF(BA60&lt;&gt;"Да","PARTIAL: не покрывает потребность",IF(BB60="ДА","самый дешёвый"&amp;IF(BC60="ДА"," + быстрый","")&amp;IF(BD60="ДА"," + optimal",""),IF(BC60="ДА","самый быстрый"&amp;IF(BD60="ДА"," + optimal",""),IF(BD60="ДА","optimal","Допущен"))))))))))</f>
        <v/>
      </c>
      <c r="BF60" s="25">
        <f>ROW()</f>
        <v>60</v>
      </c>
      <c r="BG60" s="33"/>
      <c r="BH60" s="33"/>
      <c r="BI60" s="33"/>
      <c r="BJ60" s="33"/>
      <c r="BK60" s="33"/>
      <c r="BL60" s="34"/>
      <c r="BM60" s="33"/>
      <c r="BN60" s="35" t="str">
        <f t="shared" si="36"/>
        <v/>
      </c>
      <c r="BO60" s="36" t="str">
        <f t="shared" si="37"/>
        <v/>
      </c>
      <c r="BP60" s="33"/>
      <c r="BQ60" s="38"/>
      <c r="BR60" s="13"/>
      <c r="BS60" s="13"/>
      <c r="BT60" s="13"/>
      <c r="BU60" s="13"/>
      <c r="BV60" s="13"/>
      <c r="BW60" s="13"/>
      <c r="BX60" s="39" t="str">
        <f t="shared" si="38"/>
        <v/>
      </c>
      <c r="BY60" s="47"/>
      <c r="BZ60" s="48" t="str">
        <f t="shared" si="39"/>
        <v/>
      </c>
      <c r="CA60" s="47"/>
      <c r="CB60" s="47"/>
      <c r="CC60" s="47"/>
    </row>
    <row r="61" spans="1:81" ht="14.25" x14ac:dyDescent="0.45">
      <c r="A61" s="10"/>
      <c r="B61" s="10"/>
      <c r="C61" s="10"/>
      <c r="D61" s="10"/>
      <c r="E61" s="10"/>
      <c r="F61" s="10"/>
      <c r="G61" s="10"/>
      <c r="H61" s="25" t="str">
        <f>IFERROR(VLOOKUP(C61,'01_Поставщики'!$A$4:$M$11,2,FALSE()),"")</f>
        <v/>
      </c>
      <c r="I61" s="10"/>
      <c r="J61" s="25" t="str">
        <f>IFERROR(VLOOKUP(C61,'01_Поставщики'!$A$4:$M$11,8,FALSE()),"")</f>
        <v/>
      </c>
      <c r="K61" s="25" t="str">
        <f>IFERROR(VLOOKUP(C61,'01_Поставщики'!$A$4:$M$11,4,FALSE()),"")</f>
        <v/>
      </c>
      <c r="L61" s="25" t="str">
        <f>IFERROR(VLOOKUP(C61,'01_Поставщики'!$A$4:$M$11,10,FALSE()),"")</f>
        <v/>
      </c>
      <c r="M61" s="26" t="str">
        <f>IF(OR(A61="",B61=""),"",IFERROR(SUMIFS('04_Потребность'!$B$4:$B$103,'04_Потребность'!$A$4:$A$103,A61,'04_Потребность'!$C$4:$C$103,B61),0))</f>
        <v/>
      </c>
      <c r="N61" s="11"/>
      <c r="O61" s="10"/>
      <c r="P61" s="10"/>
      <c r="Q61" s="27"/>
      <c r="R61" s="27"/>
      <c r="S61" s="8"/>
      <c r="T61" s="8">
        <f>IFERROR(INDEX('02_Схемы оплаты'!$C$4:$C$19,MATCH($C61&amp;"|"&amp;$G61,'02_Схемы оплаты'!$H$4:$H$19,0)),0)</f>
        <v>0</v>
      </c>
      <c r="U61" s="11"/>
      <c r="V61" s="28"/>
      <c r="W61" s="8"/>
      <c r="X61" s="8">
        <f>IFERROR(INDEX('02_Схемы оплаты'!$D$4:$D$19,MATCH($C61&amp;"|"&amp;$G61,'02_Схемы оплаты'!$H$4:$H$19,0)),0)</f>
        <v>0</v>
      </c>
      <c r="Y61" s="11"/>
      <c r="Z61" s="28"/>
      <c r="AA61" s="8"/>
      <c r="AB61" s="8">
        <f>IFERROR(INDEX('02_Схемы оплаты'!$E$4:$E$19,MATCH($C61&amp;"|"&amp;$G61,'02_Схемы оплаты'!$H$4:$H$19,0)),0)</f>
        <v>0</v>
      </c>
      <c r="AC61" s="11"/>
      <c r="AD61" s="28"/>
      <c r="AE61" s="8"/>
      <c r="AF61" s="10"/>
      <c r="AG61" s="10"/>
      <c r="AH61" s="25">
        <f>IFERROR(SUMIFS('04_Потребность'!$D$4:$D$103,'04_Потребность'!$A$4:$A$103,A61,'04_Потребность'!$C$4:$C$103,B61),0)</f>
        <v>0</v>
      </c>
      <c r="AI61" s="26" t="str">
        <f>IF(OR(A61="",B61=""),"",IFERROR(SUMIFS('04_Потребность'!$E$4:$E$103,'04_Потребность'!$A$4:$A$103,A61,'04_Потребность'!$C$4:$C$103,B61),0))</f>
        <v/>
      </c>
      <c r="AJ61" s="25" t="str">
        <f>IF(OR(A61="",B61=""),"",IFERROR(SUMIFS('04_Потребность'!$F$4:$F$103,'04_Потребность'!$A$4:$A$103,A61,'04_Потребность'!$C$4:$C$103,B61),0))</f>
        <v/>
      </c>
      <c r="AK61" s="29" t="str">
        <f>IF(OR(A61="",B61=""),"",IFERROR(SUMIFS('04_Потребность'!$G$4:$G$103,'04_Потребность'!$A$4:$A$103,A61,'04_Потребность'!$C$4:$C$103,B61),0))</f>
        <v/>
      </c>
      <c r="AL61" s="25" t="str">
        <f>IF('03_Настройки'!$B$7="Нет","Нет",IF(COUNTIFS('04_Потребность'!$A$4:$A$103,A61,'04_Потребность'!$C$4:$C$103,B61,'04_Потребность'!$H$4:$H$103,"Да")&gt;0,"Да","Нет"))</f>
        <v>Нет</v>
      </c>
      <c r="AM61" s="30">
        <f t="shared" si="20"/>
        <v>0</v>
      </c>
      <c r="AN61" s="30">
        <f t="shared" si="21"/>
        <v>0</v>
      </c>
      <c r="AO61" s="29">
        <f t="shared" si="22"/>
        <v>0</v>
      </c>
      <c r="AP61" s="29">
        <f t="shared" si="23"/>
        <v>0</v>
      </c>
      <c r="AQ61" s="29">
        <f t="shared" si="24"/>
        <v>0</v>
      </c>
      <c r="AR61" s="29">
        <f>IFERROR(E61*'03_Настройки'!$B$4/365*(IF(T61&gt;0,T61*V61*(1+W61)*MAX(0,N61-U61),0)+IF(X61&gt;0,X61*Z61*(1+AA61)*MAX(0,N61-Y61),0)+IF(AB61&gt;0,AB61*AD61*(1+AE61)*MAX(0,N61-AC61),0)),0)</f>
        <v>0</v>
      </c>
      <c r="AS61" s="29">
        <f t="shared" si="25"/>
        <v>0</v>
      </c>
      <c r="AT61" s="31">
        <f t="shared" si="26"/>
        <v>0</v>
      </c>
      <c r="AU61" s="31">
        <f t="shared" si="27"/>
        <v>0</v>
      </c>
      <c r="AV61" s="32">
        <f t="shared" si="28"/>
        <v>0</v>
      </c>
      <c r="AW61" s="29" t="e">
        <f t="shared" si="29"/>
        <v>#VALUE!</v>
      </c>
      <c r="AX61" s="29">
        <f t="shared" si="30"/>
        <v>0</v>
      </c>
      <c r="AY61" s="29" t="e">
        <f t="shared" si="31"/>
        <v>#VALUE!</v>
      </c>
      <c r="AZ61" s="25" t="str">
        <f>IF(AND(A61&lt;&gt;"",B61&lt;&gt;"",C61&lt;&gt;"",D61&gt;0,E61&gt;0,N61&lt;&gt;"",AH61&gt;0,O61="Да",P61="Да",BZ61="ПОЛНО",ABS(AN61-1)&lt;='03_Настройки'!$B$5,IF(T61&gt;0,AND(U61&lt;&gt;"",V61&gt;0),TRUE()),IF(X61&gt;0,AND(Y61&lt;&gt;"",Z61&gt;0),TRUE()),IF(AB61&gt;0,AND(AC61&lt;&gt;"",AD61&gt;0),TRUE()),OR(BM61="",BM61="Активна")),"Да","Нет")</f>
        <v>Нет</v>
      </c>
      <c r="BA61" s="25" t="str">
        <f t="shared" si="32"/>
        <v>Нет</v>
      </c>
      <c r="BB61" s="25" t="str">
        <f t="shared" si="33"/>
        <v/>
      </c>
      <c r="BC61" s="25" t="str">
        <f t="shared" si="34"/>
        <v/>
      </c>
      <c r="BD61" s="25" t="str">
        <f t="shared" si="35"/>
        <v/>
      </c>
      <c r="BE61" s="25" t="str">
        <f>IF(A61="","",IF(BZ61&lt;&gt;"ПОЛНО","BLOCK: неполная форма",IF(O61&lt;&gt;"Да","BLOCK: ввоз не разрешён",IF(P61&lt;&gt;"Да","BLOCK: документы не подтверждены",IF(ABS(AN61-1)&gt;'03_Настройки'!$B$5,"BLOCK: платежи не 100%",IF(AND(BM61&lt;&gt;"",BM61&lt;&gt;"Активна"),"BLOCK: позиция "&amp;BM61,IF(BA61&lt;&gt;"Да","PARTIAL: не покрывает потребность",IF(BB61="ДА","самый дешёвый"&amp;IF(BC61="ДА"," + быстрый","")&amp;IF(BD61="ДА"," + optimal",""),IF(BC61="ДА","самый быстрый"&amp;IF(BD61="ДА"," + optimal",""),IF(BD61="ДА","optimal","Допущен"))))))))))</f>
        <v/>
      </c>
      <c r="BF61" s="25">
        <f>ROW()</f>
        <v>61</v>
      </c>
      <c r="BG61" s="33"/>
      <c r="BH61" s="33"/>
      <c r="BI61" s="33"/>
      <c r="BJ61" s="33"/>
      <c r="BK61" s="33"/>
      <c r="BL61" s="34"/>
      <c r="BM61" s="33"/>
      <c r="BN61" s="35" t="str">
        <f t="shared" si="36"/>
        <v/>
      </c>
      <c r="BO61" s="36" t="str">
        <f t="shared" si="37"/>
        <v/>
      </c>
      <c r="BP61" s="33"/>
      <c r="BQ61" s="38"/>
      <c r="BR61" s="13"/>
      <c r="BS61" s="13"/>
      <c r="BT61" s="13"/>
      <c r="BU61" s="13"/>
      <c r="BV61" s="13"/>
      <c r="BW61" s="13"/>
      <c r="BX61" s="39" t="str">
        <f t="shared" si="38"/>
        <v/>
      </c>
      <c r="BY61" s="47"/>
      <c r="BZ61" s="48" t="str">
        <f t="shared" si="39"/>
        <v/>
      </c>
      <c r="CA61" s="47"/>
      <c r="CB61" s="47"/>
      <c r="CC61" s="47"/>
    </row>
    <row r="62" spans="1:81" ht="14.25" x14ac:dyDescent="0.45">
      <c r="A62" s="10"/>
      <c r="B62" s="10"/>
      <c r="C62" s="10"/>
      <c r="D62" s="10"/>
      <c r="E62" s="10"/>
      <c r="F62" s="10"/>
      <c r="G62" s="10"/>
      <c r="H62" s="25" t="str">
        <f>IFERROR(VLOOKUP(C62,'01_Поставщики'!$A$4:$M$11,2,FALSE()),"")</f>
        <v/>
      </c>
      <c r="I62" s="10"/>
      <c r="J62" s="25" t="str">
        <f>IFERROR(VLOOKUP(C62,'01_Поставщики'!$A$4:$M$11,8,FALSE()),"")</f>
        <v/>
      </c>
      <c r="K62" s="25" t="str">
        <f>IFERROR(VLOOKUP(C62,'01_Поставщики'!$A$4:$M$11,4,FALSE()),"")</f>
        <v/>
      </c>
      <c r="L62" s="25" t="str">
        <f>IFERROR(VLOOKUP(C62,'01_Поставщики'!$A$4:$M$11,10,FALSE()),"")</f>
        <v/>
      </c>
      <c r="M62" s="26" t="str">
        <f>IF(OR(A62="",B62=""),"",IFERROR(SUMIFS('04_Потребность'!$B$4:$B$103,'04_Потребность'!$A$4:$A$103,A62,'04_Потребность'!$C$4:$C$103,B62),0))</f>
        <v/>
      </c>
      <c r="N62" s="11"/>
      <c r="O62" s="10"/>
      <c r="P62" s="10"/>
      <c r="Q62" s="27"/>
      <c r="R62" s="27"/>
      <c r="S62" s="8"/>
      <c r="T62" s="8">
        <f>IFERROR(INDEX('02_Схемы оплаты'!$C$4:$C$19,MATCH($C62&amp;"|"&amp;$G62,'02_Схемы оплаты'!$H$4:$H$19,0)),0)</f>
        <v>0</v>
      </c>
      <c r="U62" s="11"/>
      <c r="V62" s="28"/>
      <c r="W62" s="8"/>
      <c r="X62" s="8">
        <f>IFERROR(INDEX('02_Схемы оплаты'!$D$4:$D$19,MATCH($C62&amp;"|"&amp;$G62,'02_Схемы оплаты'!$H$4:$H$19,0)),0)</f>
        <v>0</v>
      </c>
      <c r="Y62" s="11"/>
      <c r="Z62" s="28"/>
      <c r="AA62" s="8"/>
      <c r="AB62" s="8">
        <f>IFERROR(INDEX('02_Схемы оплаты'!$E$4:$E$19,MATCH($C62&amp;"|"&amp;$G62,'02_Схемы оплаты'!$H$4:$H$19,0)),0)</f>
        <v>0</v>
      </c>
      <c r="AC62" s="11"/>
      <c r="AD62" s="28"/>
      <c r="AE62" s="8"/>
      <c r="AF62" s="10"/>
      <c r="AG62" s="10"/>
      <c r="AH62" s="25">
        <f>IFERROR(SUMIFS('04_Потребность'!$D$4:$D$103,'04_Потребность'!$A$4:$A$103,A62,'04_Потребность'!$C$4:$C$103,B62),0)</f>
        <v>0</v>
      </c>
      <c r="AI62" s="26" t="str">
        <f>IF(OR(A62="",B62=""),"",IFERROR(SUMIFS('04_Потребность'!$E$4:$E$103,'04_Потребность'!$A$4:$A$103,A62,'04_Потребность'!$C$4:$C$103,B62),0))</f>
        <v/>
      </c>
      <c r="AJ62" s="25" t="str">
        <f>IF(OR(A62="",B62=""),"",IFERROR(SUMIFS('04_Потребность'!$F$4:$F$103,'04_Потребность'!$A$4:$A$103,A62,'04_Потребность'!$C$4:$C$103,B62),0))</f>
        <v/>
      </c>
      <c r="AK62" s="29" t="str">
        <f>IF(OR(A62="",B62=""),"",IFERROR(SUMIFS('04_Потребность'!$G$4:$G$103,'04_Потребность'!$A$4:$A$103,A62,'04_Потребность'!$C$4:$C$103,B62),0))</f>
        <v/>
      </c>
      <c r="AL62" s="25" t="str">
        <f>IF('03_Настройки'!$B$7="Нет","Нет",IF(COUNTIFS('04_Потребность'!$A$4:$A$103,A62,'04_Потребность'!$C$4:$C$103,B62,'04_Потребность'!$H$4:$H$103,"Да")&gt;0,"Да","Нет"))</f>
        <v>Нет</v>
      </c>
      <c r="AM62" s="30">
        <f t="shared" si="20"/>
        <v>0</v>
      </c>
      <c r="AN62" s="30">
        <f t="shared" si="21"/>
        <v>0</v>
      </c>
      <c r="AO62" s="29">
        <f t="shared" si="22"/>
        <v>0</v>
      </c>
      <c r="AP62" s="29">
        <f t="shared" si="23"/>
        <v>0</v>
      </c>
      <c r="AQ62" s="29">
        <f t="shared" si="24"/>
        <v>0</v>
      </c>
      <c r="AR62" s="29">
        <f>IFERROR(E62*'03_Настройки'!$B$4/365*(IF(T62&gt;0,T62*V62*(1+W62)*MAX(0,N62-U62),0)+IF(X62&gt;0,X62*Z62*(1+AA62)*MAX(0,N62-Y62),0)+IF(AB62&gt;0,AB62*AD62*(1+AE62)*MAX(0,N62-AC62),0)),0)</f>
        <v>0</v>
      </c>
      <c r="AS62" s="29">
        <f t="shared" si="25"/>
        <v>0</v>
      </c>
      <c r="AT62" s="31">
        <f t="shared" si="26"/>
        <v>0</v>
      </c>
      <c r="AU62" s="31">
        <f t="shared" si="27"/>
        <v>0</v>
      </c>
      <c r="AV62" s="32">
        <f t="shared" si="28"/>
        <v>0</v>
      </c>
      <c r="AW62" s="29" t="e">
        <f t="shared" si="29"/>
        <v>#VALUE!</v>
      </c>
      <c r="AX62" s="29">
        <f t="shared" si="30"/>
        <v>0</v>
      </c>
      <c r="AY62" s="29" t="e">
        <f t="shared" si="31"/>
        <v>#VALUE!</v>
      </c>
      <c r="AZ62" s="25" t="str">
        <f>IF(AND(A62&lt;&gt;"",B62&lt;&gt;"",C62&lt;&gt;"",D62&gt;0,E62&gt;0,N62&lt;&gt;"",AH62&gt;0,O62="Да",P62="Да",BZ62="ПОЛНО",ABS(AN62-1)&lt;='03_Настройки'!$B$5,IF(T62&gt;0,AND(U62&lt;&gt;"",V62&gt;0),TRUE()),IF(X62&gt;0,AND(Y62&lt;&gt;"",Z62&gt;0),TRUE()),IF(AB62&gt;0,AND(AC62&lt;&gt;"",AD62&gt;0),TRUE()),OR(BM62="",BM62="Активна")),"Да","Нет")</f>
        <v>Нет</v>
      </c>
      <c r="BA62" s="25" t="str">
        <f t="shared" si="32"/>
        <v>Нет</v>
      </c>
      <c r="BB62" s="25" t="str">
        <f t="shared" si="33"/>
        <v/>
      </c>
      <c r="BC62" s="25" t="str">
        <f t="shared" si="34"/>
        <v/>
      </c>
      <c r="BD62" s="25" t="str">
        <f t="shared" si="35"/>
        <v/>
      </c>
      <c r="BE62" s="25" t="str">
        <f>IF(A62="","",IF(BZ62&lt;&gt;"ПОЛНО","BLOCK: неполная форма",IF(O62&lt;&gt;"Да","BLOCK: ввоз не разрешён",IF(P62&lt;&gt;"Да","BLOCK: документы не подтверждены",IF(ABS(AN62-1)&gt;'03_Настройки'!$B$5,"BLOCK: платежи не 100%",IF(AND(BM62&lt;&gt;"",BM62&lt;&gt;"Активна"),"BLOCK: позиция "&amp;BM62,IF(BA62&lt;&gt;"Да","PARTIAL: не покрывает потребность",IF(BB62="ДА","самый дешёвый"&amp;IF(BC62="ДА"," + быстрый","")&amp;IF(BD62="ДА"," + optimal",""),IF(BC62="ДА","самый быстрый"&amp;IF(BD62="ДА"," + optimal",""),IF(BD62="ДА","optimal","Допущен"))))))))))</f>
        <v/>
      </c>
      <c r="BF62" s="25">
        <f>ROW()</f>
        <v>62</v>
      </c>
      <c r="BG62" s="33"/>
      <c r="BH62" s="33"/>
      <c r="BI62" s="33"/>
      <c r="BJ62" s="33"/>
      <c r="BK62" s="33"/>
      <c r="BL62" s="34"/>
      <c r="BM62" s="33"/>
      <c r="BN62" s="35" t="str">
        <f t="shared" si="36"/>
        <v/>
      </c>
      <c r="BO62" s="36" t="str">
        <f t="shared" si="37"/>
        <v/>
      </c>
      <c r="BP62" s="33"/>
      <c r="BQ62" s="38"/>
      <c r="BR62" s="13"/>
      <c r="BS62" s="13"/>
      <c r="BT62" s="13"/>
      <c r="BU62" s="13"/>
      <c r="BV62" s="13"/>
      <c r="BW62" s="13"/>
      <c r="BX62" s="39" t="str">
        <f t="shared" si="38"/>
        <v/>
      </c>
      <c r="BY62" s="47"/>
      <c r="BZ62" s="48" t="str">
        <f t="shared" si="39"/>
        <v/>
      </c>
      <c r="CA62" s="47"/>
      <c r="CB62" s="47"/>
      <c r="CC62" s="47"/>
    </row>
    <row r="63" spans="1:81" ht="14.25" x14ac:dyDescent="0.45">
      <c r="A63" s="10"/>
      <c r="B63" s="10"/>
      <c r="C63" s="10"/>
      <c r="D63" s="10"/>
      <c r="E63" s="10"/>
      <c r="F63" s="10"/>
      <c r="G63" s="10"/>
      <c r="H63" s="25" t="str">
        <f>IFERROR(VLOOKUP(C63,'01_Поставщики'!$A$4:$M$11,2,FALSE()),"")</f>
        <v/>
      </c>
      <c r="I63" s="10"/>
      <c r="J63" s="25" t="str">
        <f>IFERROR(VLOOKUP(C63,'01_Поставщики'!$A$4:$M$11,8,FALSE()),"")</f>
        <v/>
      </c>
      <c r="K63" s="25" t="str">
        <f>IFERROR(VLOOKUP(C63,'01_Поставщики'!$A$4:$M$11,4,FALSE()),"")</f>
        <v/>
      </c>
      <c r="L63" s="25" t="str">
        <f>IFERROR(VLOOKUP(C63,'01_Поставщики'!$A$4:$M$11,10,FALSE()),"")</f>
        <v/>
      </c>
      <c r="M63" s="26" t="str">
        <f>IF(OR(A63="",B63=""),"",IFERROR(SUMIFS('04_Потребность'!$B$4:$B$103,'04_Потребность'!$A$4:$A$103,A63,'04_Потребность'!$C$4:$C$103,B63),0))</f>
        <v/>
      </c>
      <c r="N63" s="11"/>
      <c r="O63" s="10"/>
      <c r="P63" s="10"/>
      <c r="Q63" s="27"/>
      <c r="R63" s="27"/>
      <c r="S63" s="8"/>
      <c r="T63" s="8">
        <f>IFERROR(INDEX('02_Схемы оплаты'!$C$4:$C$19,MATCH($C63&amp;"|"&amp;$G63,'02_Схемы оплаты'!$H$4:$H$19,0)),0)</f>
        <v>0</v>
      </c>
      <c r="U63" s="11"/>
      <c r="V63" s="28"/>
      <c r="W63" s="8"/>
      <c r="X63" s="8">
        <f>IFERROR(INDEX('02_Схемы оплаты'!$D$4:$D$19,MATCH($C63&amp;"|"&amp;$G63,'02_Схемы оплаты'!$H$4:$H$19,0)),0)</f>
        <v>0</v>
      </c>
      <c r="Y63" s="11"/>
      <c r="Z63" s="28"/>
      <c r="AA63" s="8"/>
      <c r="AB63" s="8">
        <f>IFERROR(INDEX('02_Схемы оплаты'!$E$4:$E$19,MATCH($C63&amp;"|"&amp;$G63,'02_Схемы оплаты'!$H$4:$H$19,0)),0)</f>
        <v>0</v>
      </c>
      <c r="AC63" s="11"/>
      <c r="AD63" s="28"/>
      <c r="AE63" s="8"/>
      <c r="AF63" s="10"/>
      <c r="AG63" s="10"/>
      <c r="AH63" s="25">
        <f>IFERROR(SUMIFS('04_Потребность'!$D$4:$D$103,'04_Потребность'!$A$4:$A$103,A63,'04_Потребность'!$C$4:$C$103,B63),0)</f>
        <v>0</v>
      </c>
      <c r="AI63" s="26" t="str">
        <f>IF(OR(A63="",B63=""),"",IFERROR(SUMIFS('04_Потребность'!$E$4:$E$103,'04_Потребность'!$A$4:$A$103,A63,'04_Потребность'!$C$4:$C$103,B63),0))</f>
        <v/>
      </c>
      <c r="AJ63" s="25" t="str">
        <f>IF(OR(A63="",B63=""),"",IFERROR(SUMIFS('04_Потребность'!$F$4:$F$103,'04_Потребность'!$A$4:$A$103,A63,'04_Потребность'!$C$4:$C$103,B63),0))</f>
        <v/>
      </c>
      <c r="AK63" s="29" t="str">
        <f>IF(OR(A63="",B63=""),"",IFERROR(SUMIFS('04_Потребность'!$G$4:$G$103,'04_Потребность'!$A$4:$A$103,A63,'04_Потребность'!$C$4:$C$103,B63),0))</f>
        <v/>
      </c>
      <c r="AL63" s="25" t="str">
        <f>IF('03_Настройки'!$B$7="Нет","Нет",IF(COUNTIFS('04_Потребность'!$A$4:$A$103,A63,'04_Потребность'!$C$4:$C$103,B63,'04_Потребность'!$H$4:$H$103,"Да")&gt;0,"Да","Нет"))</f>
        <v>Нет</v>
      </c>
      <c r="AM63" s="30">
        <f t="shared" si="20"/>
        <v>0</v>
      </c>
      <c r="AN63" s="30">
        <f t="shared" si="21"/>
        <v>0</v>
      </c>
      <c r="AO63" s="29">
        <f t="shared" si="22"/>
        <v>0</v>
      </c>
      <c r="AP63" s="29">
        <f t="shared" si="23"/>
        <v>0</v>
      </c>
      <c r="AQ63" s="29">
        <f t="shared" si="24"/>
        <v>0</v>
      </c>
      <c r="AR63" s="29">
        <f>IFERROR(E63*'03_Настройки'!$B$4/365*(IF(T63&gt;0,T63*V63*(1+W63)*MAX(0,N63-U63),0)+IF(X63&gt;0,X63*Z63*(1+AA63)*MAX(0,N63-Y63),0)+IF(AB63&gt;0,AB63*AD63*(1+AE63)*MAX(0,N63-AC63),0)),0)</f>
        <v>0</v>
      </c>
      <c r="AS63" s="29">
        <f t="shared" si="25"/>
        <v>0</v>
      </c>
      <c r="AT63" s="31">
        <f t="shared" si="26"/>
        <v>0</v>
      </c>
      <c r="AU63" s="31">
        <f t="shared" si="27"/>
        <v>0</v>
      </c>
      <c r="AV63" s="32">
        <f t="shared" si="28"/>
        <v>0</v>
      </c>
      <c r="AW63" s="29" t="e">
        <f t="shared" si="29"/>
        <v>#VALUE!</v>
      </c>
      <c r="AX63" s="29">
        <f t="shared" si="30"/>
        <v>0</v>
      </c>
      <c r="AY63" s="29" t="e">
        <f t="shared" si="31"/>
        <v>#VALUE!</v>
      </c>
      <c r="AZ63" s="25" t="str">
        <f>IF(AND(A63&lt;&gt;"",B63&lt;&gt;"",C63&lt;&gt;"",D63&gt;0,E63&gt;0,N63&lt;&gt;"",AH63&gt;0,O63="Да",P63="Да",BZ63="ПОЛНО",ABS(AN63-1)&lt;='03_Настройки'!$B$5,IF(T63&gt;0,AND(U63&lt;&gt;"",V63&gt;0),TRUE()),IF(X63&gt;0,AND(Y63&lt;&gt;"",Z63&gt;0),TRUE()),IF(AB63&gt;0,AND(AC63&lt;&gt;"",AD63&gt;0),TRUE()),OR(BM63="",BM63="Активна")),"Да","Нет")</f>
        <v>Нет</v>
      </c>
      <c r="BA63" s="25" t="str">
        <f t="shared" si="32"/>
        <v>Нет</v>
      </c>
      <c r="BB63" s="25" t="str">
        <f t="shared" si="33"/>
        <v/>
      </c>
      <c r="BC63" s="25" t="str">
        <f t="shared" si="34"/>
        <v/>
      </c>
      <c r="BD63" s="25" t="str">
        <f t="shared" si="35"/>
        <v/>
      </c>
      <c r="BE63" s="25" t="str">
        <f>IF(A63="","",IF(BZ63&lt;&gt;"ПОЛНО","BLOCK: неполная форма",IF(O63&lt;&gt;"Да","BLOCK: ввоз не разрешён",IF(P63&lt;&gt;"Да","BLOCK: документы не подтверждены",IF(ABS(AN63-1)&gt;'03_Настройки'!$B$5,"BLOCK: платежи не 100%",IF(AND(BM63&lt;&gt;"",BM63&lt;&gt;"Активна"),"BLOCK: позиция "&amp;BM63,IF(BA63&lt;&gt;"Да","PARTIAL: не покрывает потребность",IF(BB63="ДА","самый дешёвый"&amp;IF(BC63="ДА"," + быстрый","")&amp;IF(BD63="ДА"," + optimal",""),IF(BC63="ДА","самый быстрый"&amp;IF(BD63="ДА"," + optimal",""),IF(BD63="ДА","optimal","Допущен"))))))))))</f>
        <v/>
      </c>
      <c r="BF63" s="25">
        <f>ROW()</f>
        <v>63</v>
      </c>
      <c r="BG63" s="33"/>
      <c r="BH63" s="33"/>
      <c r="BI63" s="33"/>
      <c r="BJ63" s="33"/>
      <c r="BK63" s="33"/>
      <c r="BL63" s="34"/>
      <c r="BM63" s="33"/>
      <c r="BN63" s="35" t="str">
        <f t="shared" si="36"/>
        <v/>
      </c>
      <c r="BO63" s="36" t="str">
        <f t="shared" si="37"/>
        <v/>
      </c>
      <c r="BP63" s="33"/>
      <c r="BQ63" s="38"/>
      <c r="BR63" s="13"/>
      <c r="BS63" s="13"/>
      <c r="BT63" s="13"/>
      <c r="BU63" s="13"/>
      <c r="BV63" s="13"/>
      <c r="BW63" s="13"/>
      <c r="BX63" s="39" t="str">
        <f t="shared" si="38"/>
        <v/>
      </c>
      <c r="BY63" s="47"/>
      <c r="BZ63" s="48" t="str">
        <f t="shared" si="39"/>
        <v/>
      </c>
      <c r="CA63" s="47"/>
      <c r="CB63" s="47"/>
      <c r="CC63" s="47"/>
    </row>
    <row r="64" spans="1:81" ht="14.25" x14ac:dyDescent="0.45">
      <c r="A64" s="10"/>
      <c r="B64" s="10"/>
      <c r="C64" s="10"/>
      <c r="D64" s="10"/>
      <c r="E64" s="10"/>
      <c r="F64" s="10"/>
      <c r="G64" s="10"/>
      <c r="H64" s="25" t="str">
        <f>IFERROR(VLOOKUP(C64,'01_Поставщики'!$A$4:$M$11,2,FALSE()),"")</f>
        <v/>
      </c>
      <c r="I64" s="10"/>
      <c r="J64" s="25" t="str">
        <f>IFERROR(VLOOKUP(C64,'01_Поставщики'!$A$4:$M$11,8,FALSE()),"")</f>
        <v/>
      </c>
      <c r="K64" s="25" t="str">
        <f>IFERROR(VLOOKUP(C64,'01_Поставщики'!$A$4:$M$11,4,FALSE()),"")</f>
        <v/>
      </c>
      <c r="L64" s="25" t="str">
        <f>IFERROR(VLOOKUP(C64,'01_Поставщики'!$A$4:$M$11,10,FALSE()),"")</f>
        <v/>
      </c>
      <c r="M64" s="26" t="str">
        <f>IF(OR(A64="",B64=""),"",IFERROR(SUMIFS('04_Потребность'!$B$4:$B$103,'04_Потребность'!$A$4:$A$103,A64,'04_Потребность'!$C$4:$C$103,B64),0))</f>
        <v/>
      </c>
      <c r="N64" s="11"/>
      <c r="O64" s="10"/>
      <c r="P64" s="10"/>
      <c r="Q64" s="27"/>
      <c r="R64" s="27"/>
      <c r="S64" s="8"/>
      <c r="T64" s="8">
        <f>IFERROR(INDEX('02_Схемы оплаты'!$C$4:$C$19,MATCH($C64&amp;"|"&amp;$G64,'02_Схемы оплаты'!$H$4:$H$19,0)),0)</f>
        <v>0</v>
      </c>
      <c r="U64" s="11"/>
      <c r="V64" s="28"/>
      <c r="W64" s="8"/>
      <c r="X64" s="8">
        <f>IFERROR(INDEX('02_Схемы оплаты'!$D$4:$D$19,MATCH($C64&amp;"|"&amp;$G64,'02_Схемы оплаты'!$H$4:$H$19,0)),0)</f>
        <v>0</v>
      </c>
      <c r="Y64" s="11"/>
      <c r="Z64" s="28"/>
      <c r="AA64" s="8"/>
      <c r="AB64" s="8">
        <f>IFERROR(INDEX('02_Схемы оплаты'!$E$4:$E$19,MATCH($C64&amp;"|"&amp;$G64,'02_Схемы оплаты'!$H$4:$H$19,0)),0)</f>
        <v>0</v>
      </c>
      <c r="AC64" s="11"/>
      <c r="AD64" s="28"/>
      <c r="AE64" s="8"/>
      <c r="AF64" s="10"/>
      <c r="AG64" s="10"/>
      <c r="AH64" s="25">
        <f>IFERROR(SUMIFS('04_Потребность'!$D$4:$D$103,'04_Потребность'!$A$4:$A$103,A64,'04_Потребность'!$C$4:$C$103,B64),0)</f>
        <v>0</v>
      </c>
      <c r="AI64" s="26" t="str">
        <f>IF(OR(A64="",B64=""),"",IFERROR(SUMIFS('04_Потребность'!$E$4:$E$103,'04_Потребность'!$A$4:$A$103,A64,'04_Потребность'!$C$4:$C$103,B64),0))</f>
        <v/>
      </c>
      <c r="AJ64" s="25" t="str">
        <f>IF(OR(A64="",B64=""),"",IFERROR(SUMIFS('04_Потребность'!$F$4:$F$103,'04_Потребность'!$A$4:$A$103,A64,'04_Потребность'!$C$4:$C$103,B64),0))</f>
        <v/>
      </c>
      <c r="AK64" s="29" t="str">
        <f>IF(OR(A64="",B64=""),"",IFERROR(SUMIFS('04_Потребность'!$G$4:$G$103,'04_Потребность'!$A$4:$A$103,A64,'04_Потребность'!$C$4:$C$103,B64),0))</f>
        <v/>
      </c>
      <c r="AL64" s="25" t="str">
        <f>IF('03_Настройки'!$B$7="Нет","Нет",IF(COUNTIFS('04_Потребность'!$A$4:$A$103,A64,'04_Потребность'!$C$4:$C$103,B64,'04_Потребность'!$H$4:$H$103,"Да")&gt;0,"Да","Нет"))</f>
        <v>Нет</v>
      </c>
      <c r="AM64" s="30">
        <f t="shared" si="20"/>
        <v>0</v>
      </c>
      <c r="AN64" s="30">
        <f t="shared" si="21"/>
        <v>0</v>
      </c>
      <c r="AO64" s="29">
        <f t="shared" si="22"/>
        <v>0</v>
      </c>
      <c r="AP64" s="29">
        <f t="shared" si="23"/>
        <v>0</v>
      </c>
      <c r="AQ64" s="29">
        <f t="shared" si="24"/>
        <v>0</v>
      </c>
      <c r="AR64" s="29">
        <f>IFERROR(E64*'03_Настройки'!$B$4/365*(IF(T64&gt;0,T64*V64*(1+W64)*MAX(0,N64-U64),0)+IF(X64&gt;0,X64*Z64*(1+AA64)*MAX(0,N64-Y64),0)+IF(AB64&gt;0,AB64*AD64*(1+AE64)*MAX(0,N64-AC64),0)),0)</f>
        <v>0</v>
      </c>
      <c r="AS64" s="29">
        <f t="shared" si="25"/>
        <v>0</v>
      </c>
      <c r="AT64" s="31">
        <f t="shared" si="26"/>
        <v>0</v>
      </c>
      <c r="AU64" s="31">
        <f t="shared" si="27"/>
        <v>0</v>
      </c>
      <c r="AV64" s="32">
        <f t="shared" si="28"/>
        <v>0</v>
      </c>
      <c r="AW64" s="29" t="e">
        <f t="shared" si="29"/>
        <v>#VALUE!</v>
      </c>
      <c r="AX64" s="29">
        <f t="shared" si="30"/>
        <v>0</v>
      </c>
      <c r="AY64" s="29" t="e">
        <f t="shared" si="31"/>
        <v>#VALUE!</v>
      </c>
      <c r="AZ64" s="25" t="str">
        <f>IF(AND(A64&lt;&gt;"",B64&lt;&gt;"",C64&lt;&gt;"",D64&gt;0,E64&gt;0,N64&lt;&gt;"",AH64&gt;0,O64="Да",P64="Да",BZ64="ПОЛНО",ABS(AN64-1)&lt;='03_Настройки'!$B$5,IF(T64&gt;0,AND(U64&lt;&gt;"",V64&gt;0),TRUE()),IF(X64&gt;0,AND(Y64&lt;&gt;"",Z64&gt;0),TRUE()),IF(AB64&gt;0,AND(AC64&lt;&gt;"",AD64&gt;0),TRUE()),OR(BM64="",BM64="Активна")),"Да","Нет")</f>
        <v>Нет</v>
      </c>
      <c r="BA64" s="25" t="str">
        <f t="shared" si="32"/>
        <v>Нет</v>
      </c>
      <c r="BB64" s="25" t="str">
        <f t="shared" si="33"/>
        <v/>
      </c>
      <c r="BC64" s="25" t="str">
        <f t="shared" si="34"/>
        <v/>
      </c>
      <c r="BD64" s="25" t="str">
        <f t="shared" si="35"/>
        <v/>
      </c>
      <c r="BE64" s="25" t="str">
        <f>IF(A64="","",IF(BZ64&lt;&gt;"ПОЛНО","BLOCK: неполная форма",IF(O64&lt;&gt;"Да","BLOCK: ввоз не разрешён",IF(P64&lt;&gt;"Да","BLOCK: документы не подтверждены",IF(ABS(AN64-1)&gt;'03_Настройки'!$B$5,"BLOCK: платежи не 100%",IF(AND(BM64&lt;&gt;"",BM64&lt;&gt;"Активна"),"BLOCK: позиция "&amp;BM64,IF(BA64&lt;&gt;"Да","PARTIAL: не покрывает потребность",IF(BB64="ДА","самый дешёвый"&amp;IF(BC64="ДА"," + быстрый","")&amp;IF(BD64="ДА"," + optimal",""),IF(BC64="ДА","самый быстрый"&amp;IF(BD64="ДА"," + optimal",""),IF(BD64="ДА","optimal","Допущен"))))))))))</f>
        <v/>
      </c>
      <c r="BF64" s="25">
        <f>ROW()</f>
        <v>64</v>
      </c>
      <c r="BG64" s="33"/>
      <c r="BH64" s="33"/>
      <c r="BI64" s="33"/>
      <c r="BJ64" s="33"/>
      <c r="BK64" s="33"/>
      <c r="BL64" s="34"/>
      <c r="BM64" s="33"/>
      <c r="BN64" s="35" t="str">
        <f t="shared" si="36"/>
        <v/>
      </c>
      <c r="BO64" s="36" t="str">
        <f t="shared" si="37"/>
        <v/>
      </c>
      <c r="BP64" s="33"/>
      <c r="BQ64" s="38"/>
      <c r="BR64" s="13"/>
      <c r="BS64" s="13"/>
      <c r="BT64" s="13"/>
      <c r="BU64" s="13"/>
      <c r="BV64" s="13"/>
      <c r="BW64" s="13"/>
      <c r="BX64" s="39" t="str">
        <f t="shared" si="38"/>
        <v/>
      </c>
      <c r="BY64" s="47"/>
      <c r="BZ64" s="48" t="str">
        <f t="shared" si="39"/>
        <v/>
      </c>
      <c r="CA64" s="47"/>
      <c r="CB64" s="47"/>
      <c r="CC64" s="47"/>
    </row>
    <row r="65" spans="1:81" ht="14.25" x14ac:dyDescent="0.45">
      <c r="A65" s="10"/>
      <c r="B65" s="10"/>
      <c r="C65" s="10"/>
      <c r="D65" s="10"/>
      <c r="E65" s="10"/>
      <c r="F65" s="10"/>
      <c r="G65" s="10"/>
      <c r="H65" s="25" t="str">
        <f>IFERROR(VLOOKUP(C65,'01_Поставщики'!$A$4:$M$11,2,FALSE()),"")</f>
        <v/>
      </c>
      <c r="I65" s="10"/>
      <c r="J65" s="25" t="str">
        <f>IFERROR(VLOOKUP(C65,'01_Поставщики'!$A$4:$M$11,8,FALSE()),"")</f>
        <v/>
      </c>
      <c r="K65" s="25" t="str">
        <f>IFERROR(VLOOKUP(C65,'01_Поставщики'!$A$4:$M$11,4,FALSE()),"")</f>
        <v/>
      </c>
      <c r="L65" s="25" t="str">
        <f>IFERROR(VLOOKUP(C65,'01_Поставщики'!$A$4:$M$11,10,FALSE()),"")</f>
        <v/>
      </c>
      <c r="M65" s="26" t="str">
        <f>IF(OR(A65="",B65=""),"",IFERROR(SUMIFS('04_Потребность'!$B$4:$B$103,'04_Потребность'!$A$4:$A$103,A65,'04_Потребность'!$C$4:$C$103,B65),0))</f>
        <v/>
      </c>
      <c r="N65" s="11"/>
      <c r="O65" s="10"/>
      <c r="P65" s="10"/>
      <c r="Q65" s="27"/>
      <c r="R65" s="27"/>
      <c r="S65" s="8"/>
      <c r="T65" s="8">
        <f>IFERROR(INDEX('02_Схемы оплаты'!$C$4:$C$19,MATCH($C65&amp;"|"&amp;$G65,'02_Схемы оплаты'!$H$4:$H$19,0)),0)</f>
        <v>0</v>
      </c>
      <c r="U65" s="11"/>
      <c r="V65" s="28"/>
      <c r="W65" s="8"/>
      <c r="X65" s="8">
        <f>IFERROR(INDEX('02_Схемы оплаты'!$D$4:$D$19,MATCH($C65&amp;"|"&amp;$G65,'02_Схемы оплаты'!$H$4:$H$19,0)),0)</f>
        <v>0</v>
      </c>
      <c r="Y65" s="11"/>
      <c r="Z65" s="28"/>
      <c r="AA65" s="8"/>
      <c r="AB65" s="8">
        <f>IFERROR(INDEX('02_Схемы оплаты'!$E$4:$E$19,MATCH($C65&amp;"|"&amp;$G65,'02_Схемы оплаты'!$H$4:$H$19,0)),0)</f>
        <v>0</v>
      </c>
      <c r="AC65" s="11"/>
      <c r="AD65" s="28"/>
      <c r="AE65" s="8"/>
      <c r="AF65" s="10"/>
      <c r="AG65" s="10"/>
      <c r="AH65" s="25">
        <f>IFERROR(SUMIFS('04_Потребность'!$D$4:$D$103,'04_Потребность'!$A$4:$A$103,A65,'04_Потребность'!$C$4:$C$103,B65),0)</f>
        <v>0</v>
      </c>
      <c r="AI65" s="26" t="str">
        <f>IF(OR(A65="",B65=""),"",IFERROR(SUMIFS('04_Потребность'!$E$4:$E$103,'04_Потребность'!$A$4:$A$103,A65,'04_Потребность'!$C$4:$C$103,B65),0))</f>
        <v/>
      </c>
      <c r="AJ65" s="25" t="str">
        <f>IF(OR(A65="",B65=""),"",IFERROR(SUMIFS('04_Потребность'!$F$4:$F$103,'04_Потребность'!$A$4:$A$103,A65,'04_Потребность'!$C$4:$C$103,B65),0))</f>
        <v/>
      </c>
      <c r="AK65" s="29" t="str">
        <f>IF(OR(A65="",B65=""),"",IFERROR(SUMIFS('04_Потребность'!$G$4:$G$103,'04_Потребность'!$A$4:$A$103,A65,'04_Потребность'!$C$4:$C$103,B65),0))</f>
        <v/>
      </c>
      <c r="AL65" s="25" t="str">
        <f>IF('03_Настройки'!$B$7="Нет","Нет",IF(COUNTIFS('04_Потребность'!$A$4:$A$103,A65,'04_Потребность'!$C$4:$C$103,B65,'04_Потребность'!$H$4:$H$103,"Да")&gt;0,"Да","Нет"))</f>
        <v>Нет</v>
      </c>
      <c r="AM65" s="30">
        <f t="shared" si="20"/>
        <v>0</v>
      </c>
      <c r="AN65" s="30">
        <f t="shared" si="21"/>
        <v>0</v>
      </c>
      <c r="AO65" s="29">
        <f t="shared" si="22"/>
        <v>0</v>
      </c>
      <c r="AP65" s="29">
        <f t="shared" si="23"/>
        <v>0</v>
      </c>
      <c r="AQ65" s="29">
        <f t="shared" si="24"/>
        <v>0</v>
      </c>
      <c r="AR65" s="29">
        <f>IFERROR(E65*'03_Настройки'!$B$4/365*(IF(T65&gt;0,T65*V65*(1+W65)*MAX(0,N65-U65),0)+IF(X65&gt;0,X65*Z65*(1+AA65)*MAX(0,N65-Y65),0)+IF(AB65&gt;0,AB65*AD65*(1+AE65)*MAX(0,N65-AC65),0)),0)</f>
        <v>0</v>
      </c>
      <c r="AS65" s="29">
        <f t="shared" si="25"/>
        <v>0</v>
      </c>
      <c r="AT65" s="31">
        <f t="shared" si="26"/>
        <v>0</v>
      </c>
      <c r="AU65" s="31">
        <f t="shared" si="27"/>
        <v>0</v>
      </c>
      <c r="AV65" s="32">
        <f t="shared" si="28"/>
        <v>0</v>
      </c>
      <c r="AW65" s="29" t="e">
        <f t="shared" si="29"/>
        <v>#VALUE!</v>
      </c>
      <c r="AX65" s="29">
        <f t="shared" si="30"/>
        <v>0</v>
      </c>
      <c r="AY65" s="29" t="e">
        <f t="shared" si="31"/>
        <v>#VALUE!</v>
      </c>
      <c r="AZ65" s="25" t="str">
        <f>IF(AND(A65&lt;&gt;"",B65&lt;&gt;"",C65&lt;&gt;"",D65&gt;0,E65&gt;0,N65&lt;&gt;"",AH65&gt;0,O65="Да",P65="Да",BZ65="ПОЛНО",ABS(AN65-1)&lt;='03_Настройки'!$B$5,IF(T65&gt;0,AND(U65&lt;&gt;"",V65&gt;0),TRUE()),IF(X65&gt;0,AND(Y65&lt;&gt;"",Z65&gt;0),TRUE()),IF(AB65&gt;0,AND(AC65&lt;&gt;"",AD65&gt;0),TRUE()),OR(BM65="",BM65="Активна")),"Да","Нет")</f>
        <v>Нет</v>
      </c>
      <c r="BA65" s="25" t="str">
        <f t="shared" si="32"/>
        <v>Нет</v>
      </c>
      <c r="BB65" s="25" t="str">
        <f t="shared" si="33"/>
        <v/>
      </c>
      <c r="BC65" s="25" t="str">
        <f t="shared" si="34"/>
        <v/>
      </c>
      <c r="BD65" s="25" t="str">
        <f t="shared" si="35"/>
        <v/>
      </c>
      <c r="BE65" s="25" t="str">
        <f>IF(A65="","",IF(BZ65&lt;&gt;"ПОЛНО","BLOCK: неполная форма",IF(O65&lt;&gt;"Да","BLOCK: ввоз не разрешён",IF(P65&lt;&gt;"Да","BLOCK: документы не подтверждены",IF(ABS(AN65-1)&gt;'03_Настройки'!$B$5,"BLOCK: платежи не 100%",IF(AND(BM65&lt;&gt;"",BM65&lt;&gt;"Активна"),"BLOCK: позиция "&amp;BM65,IF(BA65&lt;&gt;"Да","PARTIAL: не покрывает потребность",IF(BB65="ДА","самый дешёвый"&amp;IF(BC65="ДА"," + быстрый","")&amp;IF(BD65="ДА"," + optimal",""),IF(BC65="ДА","самый быстрый"&amp;IF(BD65="ДА"," + optimal",""),IF(BD65="ДА","optimal","Допущен"))))))))))</f>
        <v/>
      </c>
      <c r="BF65" s="25">
        <f>ROW()</f>
        <v>65</v>
      </c>
      <c r="BG65" s="33"/>
      <c r="BH65" s="33"/>
      <c r="BI65" s="33"/>
      <c r="BJ65" s="33"/>
      <c r="BK65" s="33"/>
      <c r="BL65" s="34"/>
      <c r="BM65" s="33"/>
      <c r="BN65" s="35" t="str">
        <f t="shared" si="36"/>
        <v/>
      </c>
      <c r="BO65" s="36" t="str">
        <f t="shared" si="37"/>
        <v/>
      </c>
      <c r="BP65" s="33"/>
      <c r="BQ65" s="38"/>
      <c r="BR65" s="13"/>
      <c r="BS65" s="13"/>
      <c r="BT65" s="13"/>
      <c r="BU65" s="13"/>
      <c r="BV65" s="13"/>
      <c r="BW65" s="13"/>
      <c r="BX65" s="39" t="str">
        <f t="shared" si="38"/>
        <v/>
      </c>
      <c r="BY65" s="47"/>
      <c r="BZ65" s="48" t="str">
        <f t="shared" si="39"/>
        <v/>
      </c>
      <c r="CA65" s="47"/>
      <c r="CB65" s="47"/>
      <c r="CC65" s="47"/>
    </row>
    <row r="66" spans="1:81" ht="14.25" x14ac:dyDescent="0.45">
      <c r="A66" s="10"/>
      <c r="B66" s="10"/>
      <c r="C66" s="10"/>
      <c r="D66" s="10"/>
      <c r="E66" s="10"/>
      <c r="F66" s="10"/>
      <c r="G66" s="10"/>
      <c r="H66" s="25" t="str">
        <f>IFERROR(VLOOKUP(C66,'01_Поставщики'!$A$4:$M$11,2,FALSE()),"")</f>
        <v/>
      </c>
      <c r="I66" s="10"/>
      <c r="J66" s="25" t="str">
        <f>IFERROR(VLOOKUP(C66,'01_Поставщики'!$A$4:$M$11,8,FALSE()),"")</f>
        <v/>
      </c>
      <c r="K66" s="25" t="str">
        <f>IFERROR(VLOOKUP(C66,'01_Поставщики'!$A$4:$M$11,4,FALSE()),"")</f>
        <v/>
      </c>
      <c r="L66" s="25" t="str">
        <f>IFERROR(VLOOKUP(C66,'01_Поставщики'!$A$4:$M$11,10,FALSE()),"")</f>
        <v/>
      </c>
      <c r="M66" s="26" t="str">
        <f>IF(OR(A66="",B66=""),"",IFERROR(SUMIFS('04_Потребность'!$B$4:$B$103,'04_Потребность'!$A$4:$A$103,A66,'04_Потребность'!$C$4:$C$103,B66),0))</f>
        <v/>
      </c>
      <c r="N66" s="11"/>
      <c r="O66" s="10"/>
      <c r="P66" s="10"/>
      <c r="Q66" s="27"/>
      <c r="R66" s="27"/>
      <c r="S66" s="8"/>
      <c r="T66" s="8">
        <f>IFERROR(INDEX('02_Схемы оплаты'!$C$4:$C$19,MATCH($C66&amp;"|"&amp;$G66,'02_Схемы оплаты'!$H$4:$H$19,0)),0)</f>
        <v>0</v>
      </c>
      <c r="U66" s="11"/>
      <c r="V66" s="28"/>
      <c r="W66" s="8"/>
      <c r="X66" s="8">
        <f>IFERROR(INDEX('02_Схемы оплаты'!$D$4:$D$19,MATCH($C66&amp;"|"&amp;$G66,'02_Схемы оплаты'!$H$4:$H$19,0)),0)</f>
        <v>0</v>
      </c>
      <c r="Y66" s="11"/>
      <c r="Z66" s="28"/>
      <c r="AA66" s="8"/>
      <c r="AB66" s="8">
        <f>IFERROR(INDEX('02_Схемы оплаты'!$E$4:$E$19,MATCH($C66&amp;"|"&amp;$G66,'02_Схемы оплаты'!$H$4:$H$19,0)),0)</f>
        <v>0</v>
      </c>
      <c r="AC66" s="11"/>
      <c r="AD66" s="28"/>
      <c r="AE66" s="8"/>
      <c r="AF66" s="10"/>
      <c r="AG66" s="10"/>
      <c r="AH66" s="25">
        <f>IFERROR(SUMIFS('04_Потребность'!$D$4:$D$103,'04_Потребность'!$A$4:$A$103,A66,'04_Потребность'!$C$4:$C$103,B66),0)</f>
        <v>0</v>
      </c>
      <c r="AI66" s="26" t="str">
        <f>IF(OR(A66="",B66=""),"",IFERROR(SUMIFS('04_Потребность'!$E$4:$E$103,'04_Потребность'!$A$4:$A$103,A66,'04_Потребность'!$C$4:$C$103,B66),0))</f>
        <v/>
      </c>
      <c r="AJ66" s="25" t="str">
        <f>IF(OR(A66="",B66=""),"",IFERROR(SUMIFS('04_Потребность'!$F$4:$F$103,'04_Потребность'!$A$4:$A$103,A66,'04_Потребность'!$C$4:$C$103,B66),0))</f>
        <v/>
      </c>
      <c r="AK66" s="29" t="str">
        <f>IF(OR(A66="",B66=""),"",IFERROR(SUMIFS('04_Потребность'!$G$4:$G$103,'04_Потребность'!$A$4:$A$103,A66,'04_Потребность'!$C$4:$C$103,B66),0))</f>
        <v/>
      </c>
      <c r="AL66" s="25" t="str">
        <f>IF('03_Настройки'!$B$7="Нет","Нет",IF(COUNTIFS('04_Потребность'!$A$4:$A$103,A66,'04_Потребность'!$C$4:$C$103,B66,'04_Потребность'!$H$4:$H$103,"Да")&gt;0,"Да","Нет"))</f>
        <v>Нет</v>
      </c>
      <c r="AM66" s="30">
        <f t="shared" si="20"/>
        <v>0</v>
      </c>
      <c r="AN66" s="30">
        <f t="shared" si="21"/>
        <v>0</v>
      </c>
      <c r="AO66" s="29">
        <f t="shared" si="22"/>
        <v>0</v>
      </c>
      <c r="AP66" s="29">
        <f t="shared" si="23"/>
        <v>0</v>
      </c>
      <c r="AQ66" s="29">
        <f t="shared" si="24"/>
        <v>0</v>
      </c>
      <c r="AR66" s="29">
        <f>IFERROR(E66*'03_Настройки'!$B$4/365*(IF(T66&gt;0,T66*V66*(1+W66)*MAX(0,N66-U66),0)+IF(X66&gt;0,X66*Z66*(1+AA66)*MAX(0,N66-Y66),0)+IF(AB66&gt;0,AB66*AD66*(1+AE66)*MAX(0,N66-AC66),0)),0)</f>
        <v>0</v>
      </c>
      <c r="AS66" s="29">
        <f t="shared" si="25"/>
        <v>0</v>
      </c>
      <c r="AT66" s="31">
        <f t="shared" si="26"/>
        <v>0</v>
      </c>
      <c r="AU66" s="31">
        <f t="shared" si="27"/>
        <v>0</v>
      </c>
      <c r="AV66" s="32">
        <f t="shared" si="28"/>
        <v>0</v>
      </c>
      <c r="AW66" s="29" t="e">
        <f t="shared" si="29"/>
        <v>#VALUE!</v>
      </c>
      <c r="AX66" s="29">
        <f t="shared" si="30"/>
        <v>0</v>
      </c>
      <c r="AY66" s="29" t="e">
        <f t="shared" si="31"/>
        <v>#VALUE!</v>
      </c>
      <c r="AZ66" s="25" t="str">
        <f>IF(AND(A66&lt;&gt;"",B66&lt;&gt;"",C66&lt;&gt;"",D66&gt;0,E66&gt;0,N66&lt;&gt;"",AH66&gt;0,O66="Да",P66="Да",BZ66="ПОЛНО",ABS(AN66-1)&lt;='03_Настройки'!$B$5,IF(T66&gt;0,AND(U66&lt;&gt;"",V66&gt;0),TRUE()),IF(X66&gt;0,AND(Y66&lt;&gt;"",Z66&gt;0),TRUE()),IF(AB66&gt;0,AND(AC66&lt;&gt;"",AD66&gt;0),TRUE()),OR(BM66="",BM66="Активна")),"Да","Нет")</f>
        <v>Нет</v>
      </c>
      <c r="BA66" s="25" t="str">
        <f t="shared" si="32"/>
        <v>Нет</v>
      </c>
      <c r="BB66" s="25" t="str">
        <f t="shared" si="33"/>
        <v/>
      </c>
      <c r="BC66" s="25" t="str">
        <f t="shared" si="34"/>
        <v/>
      </c>
      <c r="BD66" s="25" t="str">
        <f t="shared" si="35"/>
        <v/>
      </c>
      <c r="BE66" s="25" t="str">
        <f>IF(A66="","",IF(BZ66&lt;&gt;"ПОЛНО","BLOCK: неполная форма",IF(O66&lt;&gt;"Да","BLOCK: ввоз не разрешён",IF(P66&lt;&gt;"Да","BLOCK: документы не подтверждены",IF(ABS(AN66-1)&gt;'03_Настройки'!$B$5,"BLOCK: платежи не 100%",IF(AND(BM66&lt;&gt;"",BM66&lt;&gt;"Активна"),"BLOCK: позиция "&amp;BM66,IF(BA66&lt;&gt;"Да","PARTIAL: не покрывает потребность",IF(BB66="ДА","самый дешёвый"&amp;IF(BC66="ДА"," + быстрый","")&amp;IF(BD66="ДА"," + optimal",""),IF(BC66="ДА","самый быстрый"&amp;IF(BD66="ДА"," + optimal",""),IF(BD66="ДА","optimal","Допущен"))))))))))</f>
        <v/>
      </c>
      <c r="BF66" s="25">
        <f>ROW()</f>
        <v>66</v>
      </c>
      <c r="BG66" s="33"/>
      <c r="BH66" s="33"/>
      <c r="BI66" s="33"/>
      <c r="BJ66" s="33"/>
      <c r="BK66" s="33"/>
      <c r="BL66" s="34"/>
      <c r="BM66" s="33"/>
      <c r="BN66" s="35" t="str">
        <f t="shared" si="36"/>
        <v/>
      </c>
      <c r="BO66" s="36" t="str">
        <f t="shared" si="37"/>
        <v/>
      </c>
      <c r="BP66" s="33"/>
      <c r="BQ66" s="38"/>
      <c r="BR66" s="13"/>
      <c r="BS66" s="13"/>
      <c r="BT66" s="13"/>
      <c r="BU66" s="13"/>
      <c r="BV66" s="13"/>
      <c r="BW66" s="13"/>
      <c r="BX66" s="39" t="str">
        <f t="shared" si="38"/>
        <v/>
      </c>
      <c r="BY66" s="47"/>
      <c r="BZ66" s="48" t="str">
        <f t="shared" si="39"/>
        <v/>
      </c>
      <c r="CA66" s="47"/>
      <c r="CB66" s="47"/>
      <c r="CC66" s="47"/>
    </row>
    <row r="67" spans="1:81" ht="14.25" x14ac:dyDescent="0.45">
      <c r="A67" s="10"/>
      <c r="B67" s="10"/>
      <c r="C67" s="10"/>
      <c r="D67" s="10"/>
      <c r="E67" s="10"/>
      <c r="F67" s="10"/>
      <c r="G67" s="10"/>
      <c r="H67" s="25" t="str">
        <f>IFERROR(VLOOKUP(C67,'01_Поставщики'!$A$4:$M$11,2,FALSE()),"")</f>
        <v/>
      </c>
      <c r="I67" s="10"/>
      <c r="J67" s="25" t="str">
        <f>IFERROR(VLOOKUP(C67,'01_Поставщики'!$A$4:$M$11,8,FALSE()),"")</f>
        <v/>
      </c>
      <c r="K67" s="25" t="str">
        <f>IFERROR(VLOOKUP(C67,'01_Поставщики'!$A$4:$M$11,4,FALSE()),"")</f>
        <v/>
      </c>
      <c r="L67" s="25" t="str">
        <f>IFERROR(VLOOKUP(C67,'01_Поставщики'!$A$4:$M$11,10,FALSE()),"")</f>
        <v/>
      </c>
      <c r="M67" s="26" t="str">
        <f>IF(OR(A67="",B67=""),"",IFERROR(SUMIFS('04_Потребность'!$B$4:$B$103,'04_Потребность'!$A$4:$A$103,A67,'04_Потребность'!$C$4:$C$103,B67),0))</f>
        <v/>
      </c>
      <c r="N67" s="11"/>
      <c r="O67" s="10"/>
      <c r="P67" s="10"/>
      <c r="Q67" s="27"/>
      <c r="R67" s="27"/>
      <c r="S67" s="8"/>
      <c r="T67" s="8">
        <f>IFERROR(INDEX('02_Схемы оплаты'!$C$4:$C$19,MATCH($C67&amp;"|"&amp;$G67,'02_Схемы оплаты'!$H$4:$H$19,0)),0)</f>
        <v>0</v>
      </c>
      <c r="U67" s="11"/>
      <c r="V67" s="28"/>
      <c r="W67" s="8"/>
      <c r="X67" s="8">
        <f>IFERROR(INDEX('02_Схемы оплаты'!$D$4:$D$19,MATCH($C67&amp;"|"&amp;$G67,'02_Схемы оплаты'!$H$4:$H$19,0)),0)</f>
        <v>0</v>
      </c>
      <c r="Y67" s="11"/>
      <c r="Z67" s="28"/>
      <c r="AA67" s="8"/>
      <c r="AB67" s="8">
        <f>IFERROR(INDEX('02_Схемы оплаты'!$E$4:$E$19,MATCH($C67&amp;"|"&amp;$G67,'02_Схемы оплаты'!$H$4:$H$19,0)),0)</f>
        <v>0</v>
      </c>
      <c r="AC67" s="11"/>
      <c r="AD67" s="28"/>
      <c r="AE67" s="8"/>
      <c r="AF67" s="10"/>
      <c r="AG67" s="10"/>
      <c r="AH67" s="25">
        <f>IFERROR(SUMIFS('04_Потребность'!$D$4:$D$103,'04_Потребность'!$A$4:$A$103,A67,'04_Потребность'!$C$4:$C$103,B67),0)</f>
        <v>0</v>
      </c>
      <c r="AI67" s="26" t="str">
        <f>IF(OR(A67="",B67=""),"",IFERROR(SUMIFS('04_Потребность'!$E$4:$E$103,'04_Потребность'!$A$4:$A$103,A67,'04_Потребность'!$C$4:$C$103,B67),0))</f>
        <v/>
      </c>
      <c r="AJ67" s="25" t="str">
        <f>IF(OR(A67="",B67=""),"",IFERROR(SUMIFS('04_Потребность'!$F$4:$F$103,'04_Потребность'!$A$4:$A$103,A67,'04_Потребность'!$C$4:$C$103,B67),0))</f>
        <v/>
      </c>
      <c r="AK67" s="29" t="str">
        <f>IF(OR(A67="",B67=""),"",IFERROR(SUMIFS('04_Потребность'!$G$4:$G$103,'04_Потребность'!$A$4:$A$103,A67,'04_Потребность'!$C$4:$C$103,B67),0))</f>
        <v/>
      </c>
      <c r="AL67" s="25" t="str">
        <f>IF('03_Настройки'!$B$7="Нет","Нет",IF(COUNTIFS('04_Потребность'!$A$4:$A$103,A67,'04_Потребность'!$C$4:$C$103,B67,'04_Потребность'!$H$4:$H$103,"Да")&gt;0,"Да","Нет"))</f>
        <v>Нет</v>
      </c>
      <c r="AM67" s="30">
        <f t="shared" si="20"/>
        <v>0</v>
      </c>
      <c r="AN67" s="30">
        <f t="shared" si="21"/>
        <v>0</v>
      </c>
      <c r="AO67" s="29">
        <f t="shared" si="22"/>
        <v>0</v>
      </c>
      <c r="AP67" s="29">
        <f t="shared" si="23"/>
        <v>0</v>
      </c>
      <c r="AQ67" s="29">
        <f t="shared" si="24"/>
        <v>0</v>
      </c>
      <c r="AR67" s="29">
        <f>IFERROR(E67*'03_Настройки'!$B$4/365*(IF(T67&gt;0,T67*V67*(1+W67)*MAX(0,N67-U67),0)+IF(X67&gt;0,X67*Z67*(1+AA67)*MAX(0,N67-Y67),0)+IF(AB67&gt;0,AB67*AD67*(1+AE67)*MAX(0,N67-AC67),0)),0)</f>
        <v>0</v>
      </c>
      <c r="AS67" s="29">
        <f t="shared" si="25"/>
        <v>0</v>
      </c>
      <c r="AT67" s="31">
        <f t="shared" si="26"/>
        <v>0</v>
      </c>
      <c r="AU67" s="31">
        <f t="shared" si="27"/>
        <v>0</v>
      </c>
      <c r="AV67" s="32">
        <f t="shared" si="28"/>
        <v>0</v>
      </c>
      <c r="AW67" s="29" t="e">
        <f t="shared" si="29"/>
        <v>#VALUE!</v>
      </c>
      <c r="AX67" s="29">
        <f t="shared" si="30"/>
        <v>0</v>
      </c>
      <c r="AY67" s="29" t="e">
        <f t="shared" si="31"/>
        <v>#VALUE!</v>
      </c>
      <c r="AZ67" s="25" t="str">
        <f>IF(AND(A67&lt;&gt;"",B67&lt;&gt;"",C67&lt;&gt;"",D67&gt;0,E67&gt;0,N67&lt;&gt;"",AH67&gt;0,O67="Да",P67="Да",BZ67="ПОЛНО",ABS(AN67-1)&lt;='03_Настройки'!$B$5,IF(T67&gt;0,AND(U67&lt;&gt;"",V67&gt;0),TRUE()),IF(X67&gt;0,AND(Y67&lt;&gt;"",Z67&gt;0),TRUE()),IF(AB67&gt;0,AND(AC67&lt;&gt;"",AD67&gt;0),TRUE()),OR(BM67="",BM67="Активна")),"Да","Нет")</f>
        <v>Нет</v>
      </c>
      <c r="BA67" s="25" t="str">
        <f t="shared" si="32"/>
        <v>Нет</v>
      </c>
      <c r="BB67" s="25" t="str">
        <f t="shared" si="33"/>
        <v/>
      </c>
      <c r="BC67" s="25" t="str">
        <f t="shared" si="34"/>
        <v/>
      </c>
      <c r="BD67" s="25" t="str">
        <f t="shared" si="35"/>
        <v/>
      </c>
      <c r="BE67" s="25" t="str">
        <f>IF(A67="","",IF(BZ67&lt;&gt;"ПОЛНО","BLOCK: неполная форма",IF(O67&lt;&gt;"Да","BLOCK: ввоз не разрешён",IF(P67&lt;&gt;"Да","BLOCK: документы не подтверждены",IF(ABS(AN67-1)&gt;'03_Настройки'!$B$5,"BLOCK: платежи не 100%",IF(AND(BM67&lt;&gt;"",BM67&lt;&gt;"Активна"),"BLOCK: позиция "&amp;BM67,IF(BA67&lt;&gt;"Да","PARTIAL: не покрывает потребность",IF(BB67="ДА","самый дешёвый"&amp;IF(BC67="ДА"," + быстрый","")&amp;IF(BD67="ДА"," + optimal",""),IF(BC67="ДА","самый быстрый"&amp;IF(BD67="ДА"," + optimal",""),IF(BD67="ДА","optimal","Допущен"))))))))))</f>
        <v/>
      </c>
      <c r="BF67" s="25">
        <f>ROW()</f>
        <v>67</v>
      </c>
      <c r="BG67" s="33"/>
      <c r="BH67" s="33"/>
      <c r="BI67" s="33"/>
      <c r="BJ67" s="33"/>
      <c r="BK67" s="33"/>
      <c r="BL67" s="34"/>
      <c r="BM67" s="33"/>
      <c r="BN67" s="35" t="str">
        <f t="shared" si="36"/>
        <v/>
      </c>
      <c r="BO67" s="36" t="str">
        <f t="shared" si="37"/>
        <v/>
      </c>
      <c r="BP67" s="33"/>
      <c r="BQ67" s="38"/>
      <c r="BR67" s="13"/>
      <c r="BS67" s="13"/>
      <c r="BT67" s="13"/>
      <c r="BU67" s="13"/>
      <c r="BV67" s="13"/>
      <c r="BW67" s="13"/>
      <c r="BX67" s="39" t="str">
        <f t="shared" si="38"/>
        <v/>
      </c>
      <c r="BY67" s="47"/>
      <c r="BZ67" s="48" t="str">
        <f t="shared" si="39"/>
        <v/>
      </c>
      <c r="CA67" s="47"/>
      <c r="CB67" s="47"/>
      <c r="CC67" s="47"/>
    </row>
    <row r="68" spans="1:81" ht="14.25" x14ac:dyDescent="0.45">
      <c r="A68" s="10"/>
      <c r="B68" s="10"/>
      <c r="C68" s="10"/>
      <c r="D68" s="10"/>
      <c r="E68" s="10"/>
      <c r="F68" s="10"/>
      <c r="G68" s="10"/>
      <c r="H68" s="25" t="str">
        <f>IFERROR(VLOOKUP(C68,'01_Поставщики'!$A$4:$M$11,2,FALSE()),"")</f>
        <v/>
      </c>
      <c r="I68" s="10"/>
      <c r="J68" s="25" t="str">
        <f>IFERROR(VLOOKUP(C68,'01_Поставщики'!$A$4:$M$11,8,FALSE()),"")</f>
        <v/>
      </c>
      <c r="K68" s="25" t="str">
        <f>IFERROR(VLOOKUP(C68,'01_Поставщики'!$A$4:$M$11,4,FALSE()),"")</f>
        <v/>
      </c>
      <c r="L68" s="25" t="str">
        <f>IFERROR(VLOOKUP(C68,'01_Поставщики'!$A$4:$M$11,10,FALSE()),"")</f>
        <v/>
      </c>
      <c r="M68" s="26" t="str">
        <f>IF(OR(A68="",B68=""),"",IFERROR(SUMIFS('04_Потребность'!$B$4:$B$103,'04_Потребность'!$A$4:$A$103,A68,'04_Потребность'!$C$4:$C$103,B68),0))</f>
        <v/>
      </c>
      <c r="N68" s="11"/>
      <c r="O68" s="10"/>
      <c r="P68" s="10"/>
      <c r="Q68" s="27"/>
      <c r="R68" s="27"/>
      <c r="S68" s="8"/>
      <c r="T68" s="8">
        <f>IFERROR(INDEX('02_Схемы оплаты'!$C$4:$C$19,MATCH($C68&amp;"|"&amp;$G68,'02_Схемы оплаты'!$H$4:$H$19,0)),0)</f>
        <v>0</v>
      </c>
      <c r="U68" s="11"/>
      <c r="V68" s="28"/>
      <c r="W68" s="8"/>
      <c r="X68" s="8">
        <f>IFERROR(INDEX('02_Схемы оплаты'!$D$4:$D$19,MATCH($C68&amp;"|"&amp;$G68,'02_Схемы оплаты'!$H$4:$H$19,0)),0)</f>
        <v>0</v>
      </c>
      <c r="Y68" s="11"/>
      <c r="Z68" s="28"/>
      <c r="AA68" s="8"/>
      <c r="AB68" s="8">
        <f>IFERROR(INDEX('02_Схемы оплаты'!$E$4:$E$19,MATCH($C68&amp;"|"&amp;$G68,'02_Схемы оплаты'!$H$4:$H$19,0)),0)</f>
        <v>0</v>
      </c>
      <c r="AC68" s="11"/>
      <c r="AD68" s="28"/>
      <c r="AE68" s="8"/>
      <c r="AF68" s="10"/>
      <c r="AG68" s="10"/>
      <c r="AH68" s="25">
        <f>IFERROR(SUMIFS('04_Потребность'!$D$4:$D$103,'04_Потребность'!$A$4:$A$103,A68,'04_Потребность'!$C$4:$C$103,B68),0)</f>
        <v>0</v>
      </c>
      <c r="AI68" s="26" t="str">
        <f>IF(OR(A68="",B68=""),"",IFERROR(SUMIFS('04_Потребность'!$E$4:$E$103,'04_Потребность'!$A$4:$A$103,A68,'04_Потребность'!$C$4:$C$103,B68),0))</f>
        <v/>
      </c>
      <c r="AJ68" s="25" t="str">
        <f>IF(OR(A68="",B68=""),"",IFERROR(SUMIFS('04_Потребность'!$F$4:$F$103,'04_Потребность'!$A$4:$A$103,A68,'04_Потребность'!$C$4:$C$103,B68),0))</f>
        <v/>
      </c>
      <c r="AK68" s="29" t="str">
        <f>IF(OR(A68="",B68=""),"",IFERROR(SUMIFS('04_Потребность'!$G$4:$G$103,'04_Потребность'!$A$4:$A$103,A68,'04_Потребность'!$C$4:$C$103,B68),0))</f>
        <v/>
      </c>
      <c r="AL68" s="25" t="str">
        <f>IF('03_Настройки'!$B$7="Нет","Нет",IF(COUNTIFS('04_Потребность'!$A$4:$A$103,A68,'04_Потребность'!$C$4:$C$103,B68,'04_Потребность'!$H$4:$H$103,"Да")&gt;0,"Да","Нет"))</f>
        <v>Нет</v>
      </c>
      <c r="AM68" s="30">
        <f t="shared" ref="AM68:AM99" si="40">IFERROR(MIN(1,D68/AH68),0)</f>
        <v>0</v>
      </c>
      <c r="AN68" s="30">
        <f t="shared" ref="AN68:AN99" si="41">SUM(T68,X68,AB68)</f>
        <v>0</v>
      </c>
      <c r="AO68" s="29">
        <f t="shared" ref="AO68:AO99" si="42">IFERROR(E68*(T68*V68*(1+W68)+X68*Z68*(1+AA68)+AB68*AD68*(1+AE68)),0)</f>
        <v>0</v>
      </c>
      <c r="AP68" s="29">
        <f t="shared" ref="AP68:AP99" si="43">AO68*S68</f>
        <v>0</v>
      </c>
      <c r="AQ68" s="29">
        <f t="shared" ref="AQ68:AQ99" si="44">AO68+AP68+Q68+R68</f>
        <v>0</v>
      </c>
      <c r="AR68" s="29">
        <f>IFERROR(E68*'03_Настройки'!$B$4/365*(IF(T68&gt;0,T68*V68*(1+W68)*MAX(0,N68-U68),0)+IF(X68&gt;0,X68*Z68*(1+AA68)*MAX(0,N68-Y68),0)+IF(AB68&gt;0,AB68*AD68*(1+AE68)*MAX(0,N68-AC68),0)),0)</f>
        <v>0</v>
      </c>
      <c r="AS68" s="29">
        <f t="shared" ref="AS68:AS99" si="45">AQ68+AR68</f>
        <v>0</v>
      </c>
      <c r="AT68" s="31">
        <f t="shared" ref="AT68:AT99" si="46">IFERROR(MAX(0,N68-M68),0)</f>
        <v>0</v>
      </c>
      <c r="AU68" s="31">
        <f t="shared" ref="AU68:AU99" si="47">IFERROR(MAX(0,N68-AI68),0)</f>
        <v>0</v>
      </c>
      <c r="AV68" s="32">
        <f t="shared" ref="AV68:AV99" si="48">IF(AL68="Да",MIN(AH68,AJ68*AU68),0)</f>
        <v>0</v>
      </c>
      <c r="AW68" s="29" t="e">
        <f t="shared" ref="AW68:AW99" si="49">AV68*AK68</f>
        <v>#VALUE!</v>
      </c>
      <c r="AX68" s="29">
        <f t="shared" ref="AX68:AX99" si="50">AS68*AH68</f>
        <v>0</v>
      </c>
      <c r="AY68" s="29" t="e">
        <f t="shared" ref="AY68:AY99" si="51">AX68+AW68</f>
        <v>#VALUE!</v>
      </c>
      <c r="AZ68" s="25" t="str">
        <f>IF(AND(A68&lt;&gt;"",B68&lt;&gt;"",C68&lt;&gt;"",D68&gt;0,E68&gt;0,N68&lt;&gt;"",AH68&gt;0,O68="Да",P68="Да",BZ68="ПОЛНО",ABS(AN68-1)&lt;='03_Настройки'!$B$5,IF(T68&gt;0,AND(U68&lt;&gt;"",V68&gt;0),TRUE()),IF(X68&gt;0,AND(Y68&lt;&gt;"",Z68&gt;0),TRUE()),IF(AB68&gt;0,AND(AC68&lt;&gt;"",AD68&gt;0),TRUE()),OR(BM68="",BM68="Активна")),"Да","Нет")</f>
        <v>Нет</v>
      </c>
      <c r="BA68" s="25" t="str">
        <f t="shared" ref="BA68:BA99" si="52">IF(AM68&gt;=1,"Да","Нет")</f>
        <v>Нет</v>
      </c>
      <c r="BB68" s="25" t="str">
        <f t="shared" ref="BB68:BB99" si="53">IF(AND(AZ68="Да",BA68="Да",COUNTIFS($A$4:$A$203,A68,$B$4:$B$203,B68,$AZ$4:$AZ$203,"Да",$BA$4:$BA$203,"Да",$AX$4:$AX$203,"&lt;"&amp;AX68)=0,COUNTIFS($A$4:$A$203,A68,$B$4:$B$203,B68,$AZ$4:$AZ$203,"Да",$BA$4:$BA$203,"Да",$AX$4:$AX$203,"="&amp;AX68,$BF$4:$BF$203,"&lt;"&amp;BF68)=0),"ДА","")</f>
        <v/>
      </c>
      <c r="BC68" s="25" t="str">
        <f t="shared" ref="BC68:BC99" si="54">IF(AND(AZ68="Да",BA68="Да",COUNTIFS($A$4:$A$203,A68,$B$4:$B$203,B68,$AZ$4:$AZ$203,"Да",$BA$4:$BA$203,"Да",$N$4:$N$203,"&lt;"&amp;N68)=0,COUNTIFS($A$4:$A$203,A68,$B$4:$B$203,B68,$AZ$4:$AZ$203,"Да",$BA$4:$BA$203,"Да",$N$4:$N$203,"="&amp;N68,$BF$4:$BF$203,"&lt;"&amp;BF68)=0),"ДА","")</f>
        <v/>
      </c>
      <c r="BD68" s="25" t="str">
        <f t="shared" ref="BD68:BD99" si="55">IF(AND(AZ68="Да",BA68="Да",COUNTIFS($A$4:$A$203,A68,$B$4:$B$203,B68,$AZ$4:$AZ$203,"Да",$BA$4:$BA$203,"Да",$AY$4:$AY$203,"&lt;"&amp;AY68)=0,COUNTIFS($A$4:$A$203,A68,$B$4:$B$203,B68,$AZ$4:$AZ$203,"Да",$BA$4:$BA$203,"Да",$AY$4:$AY$203,"="&amp;AY68,$BF$4:$BF$203,"&lt;"&amp;BF68)=0),"ДА","")</f>
        <v/>
      </c>
      <c r="BE68" s="25" t="str">
        <f>IF(A68="","",IF(BZ68&lt;&gt;"ПОЛНО","BLOCK: неполная форма",IF(O68&lt;&gt;"Да","BLOCK: ввоз не разрешён",IF(P68&lt;&gt;"Да","BLOCK: документы не подтверждены",IF(ABS(AN68-1)&gt;'03_Настройки'!$B$5,"BLOCK: платежи не 100%",IF(AND(BM68&lt;&gt;"",BM68&lt;&gt;"Активна"),"BLOCK: позиция "&amp;BM68,IF(BA68&lt;&gt;"Да","PARTIAL: не покрывает потребность",IF(BB68="ДА","самый дешёвый"&amp;IF(BC68="ДА"," + быстрый","")&amp;IF(BD68="ДА"," + optimal",""),IF(BC68="ДА","самый быстрый"&amp;IF(BD68="ДА"," + optimal",""),IF(BD68="ДА","optimal","Допущен"))))))))))</f>
        <v/>
      </c>
      <c r="BF68" s="25">
        <f>ROW()</f>
        <v>68</v>
      </c>
      <c r="BG68" s="33"/>
      <c r="BH68" s="33"/>
      <c r="BI68" s="33"/>
      <c r="BJ68" s="33"/>
      <c r="BK68" s="33"/>
      <c r="BL68" s="34"/>
      <c r="BM68" s="33"/>
      <c r="BN68" s="35" t="str">
        <f t="shared" ref="BN68:BN99" si="56">IF(BG68+BH68=0,"",IF(BG68+BH68&lt;&gt;D68,"⚠ SIM+eSIM≠Доступно","OK"))</f>
        <v/>
      </c>
      <c r="BO68" s="36" t="str">
        <f t="shared" ref="BO68:BO99" si="57">IF($C68="","",IF(TRIM(IF(O68&lt;&gt;"Да","⚠Ввоз ","")&amp;IF(P68&lt;&gt;"Да","⚠Документы ","")&amp;IF(AND(BG68+BH68&gt;0,D68&gt;0,BG68+BH68&lt;&gt;D68),"⚠SIM/eSIM ","")&amp;IF(BZ68&lt;&gt;"ПОЛНО","⚠НеполнаяФорма ",""))="","OK",TRIM(IF(O68&lt;&gt;"Да","⚠Ввоз ","")&amp;IF(P68&lt;&gt;"Да","⚠Документы ","")&amp;IF(AND(BG68+BH68&gt;0,D68&gt;0,BG68+BH68&lt;&gt;D68),"⚠SIM/eSIM ","")&amp;IF(BZ68&lt;&gt;"ПОЛНО","⚠НеполнаяФорма ",""))))</f>
        <v/>
      </c>
      <c r="BP68" s="33"/>
      <c r="BQ68" s="38"/>
      <c r="BR68" s="13"/>
      <c r="BS68" s="13"/>
      <c r="BT68" s="13"/>
      <c r="BU68" s="13"/>
      <c r="BV68" s="13"/>
      <c r="BW68" s="13"/>
      <c r="BX68" s="39" t="str">
        <f t="shared" ref="BX68:BX99" si="58">IF(OR(BV68&lt;&gt;"",BW68&lt;&gt;""),"Да","")</f>
        <v/>
      </c>
      <c r="BY68" s="47"/>
      <c r="BZ68" s="48" t="str">
        <f t="shared" ref="BZ68:BZ99" si="59">IF(A68="","",IF(AND(BT68&lt;&gt;"",BJ68&lt;&gt;"",CA68&lt;&gt;"",BK68&lt;&gt;"",OR(BG68&lt;&gt;"",BH68&lt;&gt;""),BM68&lt;&gt;""),"ПОЛНО","НЕПОЛНО"))</f>
        <v/>
      </c>
      <c r="CA68" s="47"/>
      <c r="CB68" s="47"/>
      <c r="CC68" s="47"/>
    </row>
    <row r="69" spans="1:81" ht="14.25" x14ac:dyDescent="0.45">
      <c r="A69" s="10"/>
      <c r="B69" s="10"/>
      <c r="C69" s="10"/>
      <c r="D69" s="10"/>
      <c r="E69" s="10"/>
      <c r="F69" s="10"/>
      <c r="G69" s="10"/>
      <c r="H69" s="25" t="str">
        <f>IFERROR(VLOOKUP(C69,'01_Поставщики'!$A$4:$M$11,2,FALSE()),"")</f>
        <v/>
      </c>
      <c r="I69" s="10"/>
      <c r="J69" s="25" t="str">
        <f>IFERROR(VLOOKUP(C69,'01_Поставщики'!$A$4:$M$11,8,FALSE()),"")</f>
        <v/>
      </c>
      <c r="K69" s="25" t="str">
        <f>IFERROR(VLOOKUP(C69,'01_Поставщики'!$A$4:$M$11,4,FALSE()),"")</f>
        <v/>
      </c>
      <c r="L69" s="25" t="str">
        <f>IFERROR(VLOOKUP(C69,'01_Поставщики'!$A$4:$M$11,10,FALSE()),"")</f>
        <v/>
      </c>
      <c r="M69" s="26" t="str">
        <f>IF(OR(A69="",B69=""),"",IFERROR(SUMIFS('04_Потребность'!$B$4:$B$103,'04_Потребность'!$A$4:$A$103,A69,'04_Потребность'!$C$4:$C$103,B69),0))</f>
        <v/>
      </c>
      <c r="N69" s="11"/>
      <c r="O69" s="10"/>
      <c r="P69" s="10"/>
      <c r="Q69" s="27"/>
      <c r="R69" s="27"/>
      <c r="S69" s="8"/>
      <c r="T69" s="8">
        <f>IFERROR(INDEX('02_Схемы оплаты'!$C$4:$C$19,MATCH($C69&amp;"|"&amp;$G69,'02_Схемы оплаты'!$H$4:$H$19,0)),0)</f>
        <v>0</v>
      </c>
      <c r="U69" s="11"/>
      <c r="V69" s="28"/>
      <c r="W69" s="8"/>
      <c r="X69" s="8">
        <f>IFERROR(INDEX('02_Схемы оплаты'!$D$4:$D$19,MATCH($C69&amp;"|"&amp;$G69,'02_Схемы оплаты'!$H$4:$H$19,0)),0)</f>
        <v>0</v>
      </c>
      <c r="Y69" s="11"/>
      <c r="Z69" s="28"/>
      <c r="AA69" s="8"/>
      <c r="AB69" s="8">
        <f>IFERROR(INDEX('02_Схемы оплаты'!$E$4:$E$19,MATCH($C69&amp;"|"&amp;$G69,'02_Схемы оплаты'!$H$4:$H$19,0)),0)</f>
        <v>0</v>
      </c>
      <c r="AC69" s="11"/>
      <c r="AD69" s="28"/>
      <c r="AE69" s="8"/>
      <c r="AF69" s="10"/>
      <c r="AG69" s="10"/>
      <c r="AH69" s="25">
        <f>IFERROR(SUMIFS('04_Потребность'!$D$4:$D$103,'04_Потребность'!$A$4:$A$103,A69,'04_Потребность'!$C$4:$C$103,B69),0)</f>
        <v>0</v>
      </c>
      <c r="AI69" s="26" t="str">
        <f>IF(OR(A69="",B69=""),"",IFERROR(SUMIFS('04_Потребность'!$E$4:$E$103,'04_Потребность'!$A$4:$A$103,A69,'04_Потребность'!$C$4:$C$103,B69),0))</f>
        <v/>
      </c>
      <c r="AJ69" s="25" t="str">
        <f>IF(OR(A69="",B69=""),"",IFERROR(SUMIFS('04_Потребность'!$F$4:$F$103,'04_Потребность'!$A$4:$A$103,A69,'04_Потребность'!$C$4:$C$103,B69),0))</f>
        <v/>
      </c>
      <c r="AK69" s="29" t="str">
        <f>IF(OR(A69="",B69=""),"",IFERROR(SUMIFS('04_Потребность'!$G$4:$G$103,'04_Потребность'!$A$4:$A$103,A69,'04_Потребность'!$C$4:$C$103,B69),0))</f>
        <v/>
      </c>
      <c r="AL69" s="25" t="str">
        <f>IF('03_Настройки'!$B$7="Нет","Нет",IF(COUNTIFS('04_Потребность'!$A$4:$A$103,A69,'04_Потребность'!$C$4:$C$103,B69,'04_Потребность'!$H$4:$H$103,"Да")&gt;0,"Да","Нет"))</f>
        <v>Нет</v>
      </c>
      <c r="AM69" s="30">
        <f t="shared" si="40"/>
        <v>0</v>
      </c>
      <c r="AN69" s="30">
        <f t="shared" si="41"/>
        <v>0</v>
      </c>
      <c r="AO69" s="29">
        <f t="shared" si="42"/>
        <v>0</v>
      </c>
      <c r="AP69" s="29">
        <f t="shared" si="43"/>
        <v>0</v>
      </c>
      <c r="AQ69" s="29">
        <f t="shared" si="44"/>
        <v>0</v>
      </c>
      <c r="AR69" s="29">
        <f>IFERROR(E69*'03_Настройки'!$B$4/365*(IF(T69&gt;0,T69*V69*(1+W69)*MAX(0,N69-U69),0)+IF(X69&gt;0,X69*Z69*(1+AA69)*MAX(0,N69-Y69),0)+IF(AB69&gt;0,AB69*AD69*(1+AE69)*MAX(0,N69-AC69),0)),0)</f>
        <v>0</v>
      </c>
      <c r="AS69" s="29">
        <f t="shared" si="45"/>
        <v>0</v>
      </c>
      <c r="AT69" s="31">
        <f t="shared" si="46"/>
        <v>0</v>
      </c>
      <c r="AU69" s="31">
        <f t="shared" si="47"/>
        <v>0</v>
      </c>
      <c r="AV69" s="32">
        <f t="shared" si="48"/>
        <v>0</v>
      </c>
      <c r="AW69" s="29" t="e">
        <f t="shared" si="49"/>
        <v>#VALUE!</v>
      </c>
      <c r="AX69" s="29">
        <f t="shared" si="50"/>
        <v>0</v>
      </c>
      <c r="AY69" s="29" t="e">
        <f t="shared" si="51"/>
        <v>#VALUE!</v>
      </c>
      <c r="AZ69" s="25" t="str">
        <f>IF(AND(A69&lt;&gt;"",B69&lt;&gt;"",C69&lt;&gt;"",D69&gt;0,E69&gt;0,N69&lt;&gt;"",AH69&gt;0,O69="Да",P69="Да",BZ69="ПОЛНО",ABS(AN69-1)&lt;='03_Настройки'!$B$5,IF(T69&gt;0,AND(U69&lt;&gt;"",V69&gt;0),TRUE()),IF(X69&gt;0,AND(Y69&lt;&gt;"",Z69&gt;0),TRUE()),IF(AB69&gt;0,AND(AC69&lt;&gt;"",AD69&gt;0),TRUE()),OR(BM69="",BM69="Активна")),"Да","Нет")</f>
        <v>Нет</v>
      </c>
      <c r="BA69" s="25" t="str">
        <f t="shared" si="52"/>
        <v>Нет</v>
      </c>
      <c r="BB69" s="25" t="str">
        <f t="shared" si="53"/>
        <v/>
      </c>
      <c r="BC69" s="25" t="str">
        <f t="shared" si="54"/>
        <v/>
      </c>
      <c r="BD69" s="25" t="str">
        <f t="shared" si="55"/>
        <v/>
      </c>
      <c r="BE69" s="25" t="str">
        <f>IF(A69="","",IF(BZ69&lt;&gt;"ПОЛНО","BLOCK: неполная форма",IF(O69&lt;&gt;"Да","BLOCK: ввоз не разрешён",IF(P69&lt;&gt;"Да","BLOCK: документы не подтверждены",IF(ABS(AN69-1)&gt;'03_Настройки'!$B$5,"BLOCK: платежи не 100%",IF(AND(BM69&lt;&gt;"",BM69&lt;&gt;"Активна"),"BLOCK: позиция "&amp;BM69,IF(BA69&lt;&gt;"Да","PARTIAL: не покрывает потребность",IF(BB69="ДА","самый дешёвый"&amp;IF(BC69="ДА"," + быстрый","")&amp;IF(BD69="ДА"," + optimal",""),IF(BC69="ДА","самый быстрый"&amp;IF(BD69="ДА"," + optimal",""),IF(BD69="ДА","optimal","Допущен"))))))))))</f>
        <v/>
      </c>
      <c r="BF69" s="25">
        <f>ROW()</f>
        <v>69</v>
      </c>
      <c r="BG69" s="33"/>
      <c r="BH69" s="33"/>
      <c r="BI69" s="33"/>
      <c r="BJ69" s="33"/>
      <c r="BK69" s="33"/>
      <c r="BL69" s="34"/>
      <c r="BM69" s="33"/>
      <c r="BN69" s="35" t="str">
        <f t="shared" si="56"/>
        <v/>
      </c>
      <c r="BO69" s="36" t="str">
        <f t="shared" si="57"/>
        <v/>
      </c>
      <c r="BP69" s="33"/>
      <c r="BQ69" s="38"/>
      <c r="BR69" s="13"/>
      <c r="BS69" s="13"/>
      <c r="BT69" s="13"/>
      <c r="BU69" s="13"/>
      <c r="BV69" s="13"/>
      <c r="BW69" s="13"/>
      <c r="BX69" s="39" t="str">
        <f t="shared" si="58"/>
        <v/>
      </c>
      <c r="BY69" s="47"/>
      <c r="BZ69" s="48" t="str">
        <f t="shared" si="59"/>
        <v/>
      </c>
      <c r="CA69" s="47"/>
      <c r="CB69" s="47"/>
      <c r="CC69" s="47"/>
    </row>
    <row r="70" spans="1:81" ht="14.25" x14ac:dyDescent="0.45">
      <c r="A70" s="10"/>
      <c r="B70" s="10"/>
      <c r="C70" s="10"/>
      <c r="D70" s="10"/>
      <c r="E70" s="10"/>
      <c r="F70" s="10"/>
      <c r="G70" s="10"/>
      <c r="H70" s="25" t="str">
        <f>IFERROR(VLOOKUP(C70,'01_Поставщики'!$A$4:$M$11,2,FALSE()),"")</f>
        <v/>
      </c>
      <c r="I70" s="10"/>
      <c r="J70" s="25" t="str">
        <f>IFERROR(VLOOKUP(C70,'01_Поставщики'!$A$4:$M$11,8,FALSE()),"")</f>
        <v/>
      </c>
      <c r="K70" s="25" t="str">
        <f>IFERROR(VLOOKUP(C70,'01_Поставщики'!$A$4:$M$11,4,FALSE()),"")</f>
        <v/>
      </c>
      <c r="L70" s="25" t="str">
        <f>IFERROR(VLOOKUP(C70,'01_Поставщики'!$A$4:$M$11,10,FALSE()),"")</f>
        <v/>
      </c>
      <c r="M70" s="26" t="str">
        <f>IF(OR(A70="",B70=""),"",IFERROR(SUMIFS('04_Потребность'!$B$4:$B$103,'04_Потребность'!$A$4:$A$103,A70,'04_Потребность'!$C$4:$C$103,B70),0))</f>
        <v/>
      </c>
      <c r="N70" s="11"/>
      <c r="O70" s="10"/>
      <c r="P70" s="10"/>
      <c r="Q70" s="27"/>
      <c r="R70" s="27"/>
      <c r="S70" s="8"/>
      <c r="T70" s="8">
        <f>IFERROR(INDEX('02_Схемы оплаты'!$C$4:$C$19,MATCH($C70&amp;"|"&amp;$G70,'02_Схемы оплаты'!$H$4:$H$19,0)),0)</f>
        <v>0</v>
      </c>
      <c r="U70" s="11"/>
      <c r="V70" s="28"/>
      <c r="W70" s="8"/>
      <c r="X70" s="8">
        <f>IFERROR(INDEX('02_Схемы оплаты'!$D$4:$D$19,MATCH($C70&amp;"|"&amp;$G70,'02_Схемы оплаты'!$H$4:$H$19,0)),0)</f>
        <v>0</v>
      </c>
      <c r="Y70" s="11"/>
      <c r="Z70" s="28"/>
      <c r="AA70" s="8"/>
      <c r="AB70" s="8">
        <f>IFERROR(INDEX('02_Схемы оплаты'!$E$4:$E$19,MATCH($C70&amp;"|"&amp;$G70,'02_Схемы оплаты'!$H$4:$H$19,0)),0)</f>
        <v>0</v>
      </c>
      <c r="AC70" s="11"/>
      <c r="AD70" s="28"/>
      <c r="AE70" s="8"/>
      <c r="AF70" s="10"/>
      <c r="AG70" s="10"/>
      <c r="AH70" s="25">
        <f>IFERROR(SUMIFS('04_Потребность'!$D$4:$D$103,'04_Потребность'!$A$4:$A$103,A70,'04_Потребность'!$C$4:$C$103,B70),0)</f>
        <v>0</v>
      </c>
      <c r="AI70" s="26" t="str">
        <f>IF(OR(A70="",B70=""),"",IFERROR(SUMIFS('04_Потребность'!$E$4:$E$103,'04_Потребность'!$A$4:$A$103,A70,'04_Потребность'!$C$4:$C$103,B70),0))</f>
        <v/>
      </c>
      <c r="AJ70" s="25" t="str">
        <f>IF(OR(A70="",B70=""),"",IFERROR(SUMIFS('04_Потребность'!$F$4:$F$103,'04_Потребность'!$A$4:$A$103,A70,'04_Потребность'!$C$4:$C$103,B70),0))</f>
        <v/>
      </c>
      <c r="AK70" s="29" t="str">
        <f>IF(OR(A70="",B70=""),"",IFERROR(SUMIFS('04_Потребность'!$G$4:$G$103,'04_Потребность'!$A$4:$A$103,A70,'04_Потребность'!$C$4:$C$103,B70),0))</f>
        <v/>
      </c>
      <c r="AL70" s="25" t="str">
        <f>IF('03_Настройки'!$B$7="Нет","Нет",IF(COUNTIFS('04_Потребность'!$A$4:$A$103,A70,'04_Потребность'!$C$4:$C$103,B70,'04_Потребность'!$H$4:$H$103,"Да")&gt;0,"Да","Нет"))</f>
        <v>Нет</v>
      </c>
      <c r="AM70" s="30">
        <f t="shared" si="40"/>
        <v>0</v>
      </c>
      <c r="AN70" s="30">
        <f t="shared" si="41"/>
        <v>0</v>
      </c>
      <c r="AO70" s="29">
        <f t="shared" si="42"/>
        <v>0</v>
      </c>
      <c r="AP70" s="29">
        <f t="shared" si="43"/>
        <v>0</v>
      </c>
      <c r="AQ70" s="29">
        <f t="shared" si="44"/>
        <v>0</v>
      </c>
      <c r="AR70" s="29">
        <f>IFERROR(E70*'03_Настройки'!$B$4/365*(IF(T70&gt;0,T70*V70*(1+W70)*MAX(0,N70-U70),0)+IF(X70&gt;0,X70*Z70*(1+AA70)*MAX(0,N70-Y70),0)+IF(AB70&gt;0,AB70*AD70*(1+AE70)*MAX(0,N70-AC70),0)),0)</f>
        <v>0</v>
      </c>
      <c r="AS70" s="29">
        <f t="shared" si="45"/>
        <v>0</v>
      </c>
      <c r="AT70" s="31">
        <f t="shared" si="46"/>
        <v>0</v>
      </c>
      <c r="AU70" s="31">
        <f t="shared" si="47"/>
        <v>0</v>
      </c>
      <c r="AV70" s="32">
        <f t="shared" si="48"/>
        <v>0</v>
      </c>
      <c r="AW70" s="29" t="e">
        <f t="shared" si="49"/>
        <v>#VALUE!</v>
      </c>
      <c r="AX70" s="29">
        <f t="shared" si="50"/>
        <v>0</v>
      </c>
      <c r="AY70" s="29" t="e">
        <f t="shared" si="51"/>
        <v>#VALUE!</v>
      </c>
      <c r="AZ70" s="25" t="str">
        <f>IF(AND(A70&lt;&gt;"",B70&lt;&gt;"",C70&lt;&gt;"",D70&gt;0,E70&gt;0,N70&lt;&gt;"",AH70&gt;0,O70="Да",P70="Да",BZ70="ПОЛНО",ABS(AN70-1)&lt;='03_Настройки'!$B$5,IF(T70&gt;0,AND(U70&lt;&gt;"",V70&gt;0),TRUE()),IF(X70&gt;0,AND(Y70&lt;&gt;"",Z70&gt;0),TRUE()),IF(AB70&gt;0,AND(AC70&lt;&gt;"",AD70&gt;0),TRUE()),OR(BM70="",BM70="Активна")),"Да","Нет")</f>
        <v>Нет</v>
      </c>
      <c r="BA70" s="25" t="str">
        <f t="shared" si="52"/>
        <v>Нет</v>
      </c>
      <c r="BB70" s="25" t="str">
        <f t="shared" si="53"/>
        <v/>
      </c>
      <c r="BC70" s="25" t="str">
        <f t="shared" si="54"/>
        <v/>
      </c>
      <c r="BD70" s="25" t="str">
        <f t="shared" si="55"/>
        <v/>
      </c>
      <c r="BE70" s="25" t="str">
        <f>IF(A70="","",IF(BZ70&lt;&gt;"ПОЛНО","BLOCK: неполная форма",IF(O70&lt;&gt;"Да","BLOCK: ввоз не разрешён",IF(P70&lt;&gt;"Да","BLOCK: документы не подтверждены",IF(ABS(AN70-1)&gt;'03_Настройки'!$B$5,"BLOCK: платежи не 100%",IF(AND(BM70&lt;&gt;"",BM70&lt;&gt;"Активна"),"BLOCK: позиция "&amp;BM70,IF(BA70&lt;&gt;"Да","PARTIAL: не покрывает потребность",IF(BB70="ДА","самый дешёвый"&amp;IF(BC70="ДА"," + быстрый","")&amp;IF(BD70="ДА"," + optimal",""),IF(BC70="ДА","самый быстрый"&amp;IF(BD70="ДА"," + optimal",""),IF(BD70="ДА","optimal","Допущен"))))))))))</f>
        <v/>
      </c>
      <c r="BF70" s="25">
        <f>ROW()</f>
        <v>70</v>
      </c>
      <c r="BG70" s="33"/>
      <c r="BH70" s="33"/>
      <c r="BI70" s="33"/>
      <c r="BJ70" s="33"/>
      <c r="BK70" s="33"/>
      <c r="BL70" s="34"/>
      <c r="BM70" s="33"/>
      <c r="BN70" s="35" t="str">
        <f t="shared" si="56"/>
        <v/>
      </c>
      <c r="BO70" s="36" t="str">
        <f t="shared" si="57"/>
        <v/>
      </c>
      <c r="BP70" s="33"/>
      <c r="BQ70" s="38"/>
      <c r="BR70" s="13"/>
      <c r="BS70" s="13"/>
      <c r="BT70" s="13"/>
      <c r="BU70" s="13"/>
      <c r="BV70" s="13"/>
      <c r="BW70" s="13"/>
      <c r="BX70" s="39" t="str">
        <f t="shared" si="58"/>
        <v/>
      </c>
      <c r="BY70" s="47"/>
      <c r="BZ70" s="48" t="str">
        <f t="shared" si="59"/>
        <v/>
      </c>
      <c r="CA70" s="47"/>
      <c r="CB70" s="47"/>
      <c r="CC70" s="47"/>
    </row>
    <row r="71" spans="1:81" ht="14.25" x14ac:dyDescent="0.45">
      <c r="A71" s="10"/>
      <c r="B71" s="10"/>
      <c r="C71" s="10"/>
      <c r="D71" s="10"/>
      <c r="E71" s="10"/>
      <c r="F71" s="10"/>
      <c r="G71" s="10"/>
      <c r="H71" s="25" t="str">
        <f>IFERROR(VLOOKUP(C71,'01_Поставщики'!$A$4:$M$11,2,FALSE()),"")</f>
        <v/>
      </c>
      <c r="I71" s="10"/>
      <c r="J71" s="25" t="str">
        <f>IFERROR(VLOOKUP(C71,'01_Поставщики'!$A$4:$M$11,8,FALSE()),"")</f>
        <v/>
      </c>
      <c r="K71" s="25" t="str">
        <f>IFERROR(VLOOKUP(C71,'01_Поставщики'!$A$4:$M$11,4,FALSE()),"")</f>
        <v/>
      </c>
      <c r="L71" s="25" t="str">
        <f>IFERROR(VLOOKUP(C71,'01_Поставщики'!$A$4:$M$11,10,FALSE()),"")</f>
        <v/>
      </c>
      <c r="M71" s="26" t="str">
        <f>IF(OR(A71="",B71=""),"",IFERROR(SUMIFS('04_Потребность'!$B$4:$B$103,'04_Потребность'!$A$4:$A$103,A71,'04_Потребность'!$C$4:$C$103,B71),0))</f>
        <v/>
      </c>
      <c r="N71" s="11"/>
      <c r="O71" s="10"/>
      <c r="P71" s="10"/>
      <c r="Q71" s="27"/>
      <c r="R71" s="27"/>
      <c r="S71" s="8"/>
      <c r="T71" s="8">
        <f>IFERROR(INDEX('02_Схемы оплаты'!$C$4:$C$19,MATCH($C71&amp;"|"&amp;$G71,'02_Схемы оплаты'!$H$4:$H$19,0)),0)</f>
        <v>0</v>
      </c>
      <c r="U71" s="11"/>
      <c r="V71" s="28"/>
      <c r="W71" s="8"/>
      <c r="X71" s="8">
        <f>IFERROR(INDEX('02_Схемы оплаты'!$D$4:$D$19,MATCH($C71&amp;"|"&amp;$G71,'02_Схемы оплаты'!$H$4:$H$19,0)),0)</f>
        <v>0</v>
      </c>
      <c r="Y71" s="11"/>
      <c r="Z71" s="28"/>
      <c r="AA71" s="8"/>
      <c r="AB71" s="8">
        <f>IFERROR(INDEX('02_Схемы оплаты'!$E$4:$E$19,MATCH($C71&amp;"|"&amp;$G71,'02_Схемы оплаты'!$H$4:$H$19,0)),0)</f>
        <v>0</v>
      </c>
      <c r="AC71" s="11"/>
      <c r="AD71" s="28"/>
      <c r="AE71" s="8"/>
      <c r="AF71" s="10"/>
      <c r="AG71" s="10"/>
      <c r="AH71" s="25">
        <f>IFERROR(SUMIFS('04_Потребность'!$D$4:$D$103,'04_Потребность'!$A$4:$A$103,A71,'04_Потребность'!$C$4:$C$103,B71),0)</f>
        <v>0</v>
      </c>
      <c r="AI71" s="26" t="str">
        <f>IF(OR(A71="",B71=""),"",IFERROR(SUMIFS('04_Потребность'!$E$4:$E$103,'04_Потребность'!$A$4:$A$103,A71,'04_Потребность'!$C$4:$C$103,B71),0))</f>
        <v/>
      </c>
      <c r="AJ71" s="25" t="str">
        <f>IF(OR(A71="",B71=""),"",IFERROR(SUMIFS('04_Потребность'!$F$4:$F$103,'04_Потребность'!$A$4:$A$103,A71,'04_Потребность'!$C$4:$C$103,B71),0))</f>
        <v/>
      </c>
      <c r="AK71" s="29" t="str">
        <f>IF(OR(A71="",B71=""),"",IFERROR(SUMIFS('04_Потребность'!$G$4:$G$103,'04_Потребность'!$A$4:$A$103,A71,'04_Потребность'!$C$4:$C$103,B71),0))</f>
        <v/>
      </c>
      <c r="AL71" s="25" t="str">
        <f>IF('03_Настройки'!$B$7="Нет","Нет",IF(COUNTIFS('04_Потребность'!$A$4:$A$103,A71,'04_Потребность'!$C$4:$C$103,B71,'04_Потребность'!$H$4:$H$103,"Да")&gt;0,"Да","Нет"))</f>
        <v>Нет</v>
      </c>
      <c r="AM71" s="30">
        <f t="shared" si="40"/>
        <v>0</v>
      </c>
      <c r="AN71" s="30">
        <f t="shared" si="41"/>
        <v>0</v>
      </c>
      <c r="AO71" s="29">
        <f t="shared" si="42"/>
        <v>0</v>
      </c>
      <c r="AP71" s="29">
        <f t="shared" si="43"/>
        <v>0</v>
      </c>
      <c r="AQ71" s="29">
        <f t="shared" si="44"/>
        <v>0</v>
      </c>
      <c r="AR71" s="29">
        <f>IFERROR(E71*'03_Настройки'!$B$4/365*(IF(T71&gt;0,T71*V71*(1+W71)*MAX(0,N71-U71),0)+IF(X71&gt;0,X71*Z71*(1+AA71)*MAX(0,N71-Y71),0)+IF(AB71&gt;0,AB71*AD71*(1+AE71)*MAX(0,N71-AC71),0)),0)</f>
        <v>0</v>
      </c>
      <c r="AS71" s="29">
        <f t="shared" si="45"/>
        <v>0</v>
      </c>
      <c r="AT71" s="31">
        <f t="shared" si="46"/>
        <v>0</v>
      </c>
      <c r="AU71" s="31">
        <f t="shared" si="47"/>
        <v>0</v>
      </c>
      <c r="AV71" s="32">
        <f t="shared" si="48"/>
        <v>0</v>
      </c>
      <c r="AW71" s="29" t="e">
        <f t="shared" si="49"/>
        <v>#VALUE!</v>
      </c>
      <c r="AX71" s="29">
        <f t="shared" si="50"/>
        <v>0</v>
      </c>
      <c r="AY71" s="29" t="e">
        <f t="shared" si="51"/>
        <v>#VALUE!</v>
      </c>
      <c r="AZ71" s="25" t="str">
        <f>IF(AND(A71&lt;&gt;"",B71&lt;&gt;"",C71&lt;&gt;"",D71&gt;0,E71&gt;0,N71&lt;&gt;"",AH71&gt;0,O71="Да",P71="Да",BZ71="ПОЛНО",ABS(AN71-1)&lt;='03_Настройки'!$B$5,IF(T71&gt;0,AND(U71&lt;&gt;"",V71&gt;0),TRUE()),IF(X71&gt;0,AND(Y71&lt;&gt;"",Z71&gt;0),TRUE()),IF(AB71&gt;0,AND(AC71&lt;&gt;"",AD71&gt;0),TRUE()),OR(BM71="",BM71="Активна")),"Да","Нет")</f>
        <v>Нет</v>
      </c>
      <c r="BA71" s="25" t="str">
        <f t="shared" si="52"/>
        <v>Нет</v>
      </c>
      <c r="BB71" s="25" t="str">
        <f t="shared" si="53"/>
        <v/>
      </c>
      <c r="BC71" s="25" t="str">
        <f t="shared" si="54"/>
        <v/>
      </c>
      <c r="BD71" s="25" t="str">
        <f t="shared" si="55"/>
        <v/>
      </c>
      <c r="BE71" s="25" t="str">
        <f>IF(A71="","",IF(BZ71&lt;&gt;"ПОЛНО","BLOCK: неполная форма",IF(O71&lt;&gt;"Да","BLOCK: ввоз не разрешён",IF(P71&lt;&gt;"Да","BLOCK: документы не подтверждены",IF(ABS(AN71-1)&gt;'03_Настройки'!$B$5,"BLOCK: платежи не 100%",IF(AND(BM71&lt;&gt;"",BM71&lt;&gt;"Активна"),"BLOCK: позиция "&amp;BM71,IF(BA71&lt;&gt;"Да","PARTIAL: не покрывает потребность",IF(BB71="ДА","самый дешёвый"&amp;IF(BC71="ДА"," + быстрый","")&amp;IF(BD71="ДА"," + optimal",""),IF(BC71="ДА","самый быстрый"&amp;IF(BD71="ДА"," + optimal",""),IF(BD71="ДА","optimal","Допущен"))))))))))</f>
        <v/>
      </c>
      <c r="BF71" s="25">
        <f>ROW()</f>
        <v>71</v>
      </c>
      <c r="BG71" s="33"/>
      <c r="BH71" s="33"/>
      <c r="BI71" s="33"/>
      <c r="BJ71" s="33"/>
      <c r="BK71" s="33"/>
      <c r="BL71" s="34"/>
      <c r="BM71" s="33"/>
      <c r="BN71" s="35" t="str">
        <f t="shared" si="56"/>
        <v/>
      </c>
      <c r="BO71" s="36" t="str">
        <f t="shared" si="57"/>
        <v/>
      </c>
      <c r="BP71" s="33"/>
      <c r="BQ71" s="38"/>
      <c r="BR71" s="13"/>
      <c r="BS71" s="13"/>
      <c r="BT71" s="13"/>
      <c r="BU71" s="13"/>
      <c r="BV71" s="13"/>
      <c r="BW71" s="13"/>
      <c r="BX71" s="39" t="str">
        <f t="shared" si="58"/>
        <v/>
      </c>
      <c r="BY71" s="47"/>
      <c r="BZ71" s="48" t="str">
        <f t="shared" si="59"/>
        <v/>
      </c>
      <c r="CA71" s="47"/>
      <c r="CB71" s="47"/>
      <c r="CC71" s="47"/>
    </row>
    <row r="72" spans="1:81" ht="14.25" x14ac:dyDescent="0.45">
      <c r="A72" s="10"/>
      <c r="B72" s="10"/>
      <c r="C72" s="10"/>
      <c r="D72" s="10"/>
      <c r="E72" s="10"/>
      <c r="F72" s="10"/>
      <c r="G72" s="10"/>
      <c r="H72" s="25" t="str">
        <f>IFERROR(VLOOKUP(C72,'01_Поставщики'!$A$4:$M$11,2,FALSE()),"")</f>
        <v/>
      </c>
      <c r="I72" s="10"/>
      <c r="J72" s="25" t="str">
        <f>IFERROR(VLOOKUP(C72,'01_Поставщики'!$A$4:$M$11,8,FALSE()),"")</f>
        <v/>
      </c>
      <c r="K72" s="25" t="str">
        <f>IFERROR(VLOOKUP(C72,'01_Поставщики'!$A$4:$M$11,4,FALSE()),"")</f>
        <v/>
      </c>
      <c r="L72" s="25" t="str">
        <f>IFERROR(VLOOKUP(C72,'01_Поставщики'!$A$4:$M$11,10,FALSE()),"")</f>
        <v/>
      </c>
      <c r="M72" s="26" t="str">
        <f>IF(OR(A72="",B72=""),"",IFERROR(SUMIFS('04_Потребность'!$B$4:$B$103,'04_Потребность'!$A$4:$A$103,A72,'04_Потребность'!$C$4:$C$103,B72),0))</f>
        <v/>
      </c>
      <c r="N72" s="11"/>
      <c r="O72" s="10"/>
      <c r="P72" s="10"/>
      <c r="Q72" s="27"/>
      <c r="R72" s="27"/>
      <c r="S72" s="8"/>
      <c r="T72" s="8">
        <f>IFERROR(INDEX('02_Схемы оплаты'!$C$4:$C$19,MATCH($C72&amp;"|"&amp;$G72,'02_Схемы оплаты'!$H$4:$H$19,0)),0)</f>
        <v>0</v>
      </c>
      <c r="U72" s="11"/>
      <c r="V72" s="28"/>
      <c r="W72" s="8"/>
      <c r="X72" s="8">
        <f>IFERROR(INDEX('02_Схемы оплаты'!$D$4:$D$19,MATCH($C72&amp;"|"&amp;$G72,'02_Схемы оплаты'!$H$4:$H$19,0)),0)</f>
        <v>0</v>
      </c>
      <c r="Y72" s="11"/>
      <c r="Z72" s="28"/>
      <c r="AA72" s="8"/>
      <c r="AB72" s="8">
        <f>IFERROR(INDEX('02_Схемы оплаты'!$E$4:$E$19,MATCH($C72&amp;"|"&amp;$G72,'02_Схемы оплаты'!$H$4:$H$19,0)),0)</f>
        <v>0</v>
      </c>
      <c r="AC72" s="11"/>
      <c r="AD72" s="28"/>
      <c r="AE72" s="8"/>
      <c r="AF72" s="10"/>
      <c r="AG72" s="10"/>
      <c r="AH72" s="25">
        <f>IFERROR(SUMIFS('04_Потребность'!$D$4:$D$103,'04_Потребность'!$A$4:$A$103,A72,'04_Потребность'!$C$4:$C$103,B72),0)</f>
        <v>0</v>
      </c>
      <c r="AI72" s="26" t="str">
        <f>IF(OR(A72="",B72=""),"",IFERROR(SUMIFS('04_Потребность'!$E$4:$E$103,'04_Потребность'!$A$4:$A$103,A72,'04_Потребность'!$C$4:$C$103,B72),0))</f>
        <v/>
      </c>
      <c r="AJ72" s="25" t="str">
        <f>IF(OR(A72="",B72=""),"",IFERROR(SUMIFS('04_Потребность'!$F$4:$F$103,'04_Потребность'!$A$4:$A$103,A72,'04_Потребность'!$C$4:$C$103,B72),0))</f>
        <v/>
      </c>
      <c r="AK72" s="29" t="str">
        <f>IF(OR(A72="",B72=""),"",IFERROR(SUMIFS('04_Потребность'!$G$4:$G$103,'04_Потребность'!$A$4:$A$103,A72,'04_Потребность'!$C$4:$C$103,B72),0))</f>
        <v/>
      </c>
      <c r="AL72" s="25" t="str">
        <f>IF('03_Настройки'!$B$7="Нет","Нет",IF(COUNTIFS('04_Потребность'!$A$4:$A$103,A72,'04_Потребность'!$C$4:$C$103,B72,'04_Потребность'!$H$4:$H$103,"Да")&gt;0,"Да","Нет"))</f>
        <v>Нет</v>
      </c>
      <c r="AM72" s="30">
        <f t="shared" si="40"/>
        <v>0</v>
      </c>
      <c r="AN72" s="30">
        <f t="shared" si="41"/>
        <v>0</v>
      </c>
      <c r="AO72" s="29">
        <f t="shared" si="42"/>
        <v>0</v>
      </c>
      <c r="AP72" s="29">
        <f t="shared" si="43"/>
        <v>0</v>
      </c>
      <c r="AQ72" s="29">
        <f t="shared" si="44"/>
        <v>0</v>
      </c>
      <c r="AR72" s="29">
        <f>IFERROR(E72*'03_Настройки'!$B$4/365*(IF(T72&gt;0,T72*V72*(1+W72)*MAX(0,N72-U72),0)+IF(X72&gt;0,X72*Z72*(1+AA72)*MAX(0,N72-Y72),0)+IF(AB72&gt;0,AB72*AD72*(1+AE72)*MAX(0,N72-AC72),0)),0)</f>
        <v>0</v>
      </c>
      <c r="AS72" s="29">
        <f t="shared" si="45"/>
        <v>0</v>
      </c>
      <c r="AT72" s="31">
        <f t="shared" si="46"/>
        <v>0</v>
      </c>
      <c r="AU72" s="31">
        <f t="shared" si="47"/>
        <v>0</v>
      </c>
      <c r="AV72" s="32">
        <f t="shared" si="48"/>
        <v>0</v>
      </c>
      <c r="AW72" s="29" t="e">
        <f t="shared" si="49"/>
        <v>#VALUE!</v>
      </c>
      <c r="AX72" s="29">
        <f t="shared" si="50"/>
        <v>0</v>
      </c>
      <c r="AY72" s="29" t="e">
        <f t="shared" si="51"/>
        <v>#VALUE!</v>
      </c>
      <c r="AZ72" s="25" t="str">
        <f>IF(AND(A72&lt;&gt;"",B72&lt;&gt;"",C72&lt;&gt;"",D72&gt;0,E72&gt;0,N72&lt;&gt;"",AH72&gt;0,O72="Да",P72="Да",BZ72="ПОЛНО",ABS(AN72-1)&lt;='03_Настройки'!$B$5,IF(T72&gt;0,AND(U72&lt;&gt;"",V72&gt;0),TRUE()),IF(X72&gt;0,AND(Y72&lt;&gt;"",Z72&gt;0),TRUE()),IF(AB72&gt;0,AND(AC72&lt;&gt;"",AD72&gt;0),TRUE()),OR(BM72="",BM72="Активна")),"Да","Нет")</f>
        <v>Нет</v>
      </c>
      <c r="BA72" s="25" t="str">
        <f t="shared" si="52"/>
        <v>Нет</v>
      </c>
      <c r="BB72" s="25" t="str">
        <f t="shared" si="53"/>
        <v/>
      </c>
      <c r="BC72" s="25" t="str">
        <f t="shared" si="54"/>
        <v/>
      </c>
      <c r="BD72" s="25" t="str">
        <f t="shared" si="55"/>
        <v/>
      </c>
      <c r="BE72" s="25" t="str">
        <f>IF(A72="","",IF(BZ72&lt;&gt;"ПОЛНО","BLOCK: неполная форма",IF(O72&lt;&gt;"Да","BLOCK: ввоз не разрешён",IF(P72&lt;&gt;"Да","BLOCK: документы не подтверждены",IF(ABS(AN72-1)&gt;'03_Настройки'!$B$5,"BLOCK: платежи не 100%",IF(AND(BM72&lt;&gt;"",BM72&lt;&gt;"Активна"),"BLOCK: позиция "&amp;BM72,IF(BA72&lt;&gt;"Да","PARTIAL: не покрывает потребность",IF(BB72="ДА","самый дешёвый"&amp;IF(BC72="ДА"," + быстрый","")&amp;IF(BD72="ДА"," + optimal",""),IF(BC72="ДА","самый быстрый"&amp;IF(BD72="ДА"," + optimal",""),IF(BD72="ДА","optimal","Допущен"))))))))))</f>
        <v/>
      </c>
      <c r="BF72" s="25">
        <f>ROW()</f>
        <v>72</v>
      </c>
      <c r="BG72" s="33"/>
      <c r="BH72" s="33"/>
      <c r="BI72" s="33"/>
      <c r="BJ72" s="33"/>
      <c r="BK72" s="33"/>
      <c r="BL72" s="34"/>
      <c r="BM72" s="33"/>
      <c r="BN72" s="35" t="str">
        <f t="shared" si="56"/>
        <v/>
      </c>
      <c r="BO72" s="36" t="str">
        <f t="shared" si="57"/>
        <v/>
      </c>
      <c r="BP72" s="33"/>
      <c r="BQ72" s="38"/>
      <c r="BR72" s="13"/>
      <c r="BS72" s="13"/>
      <c r="BT72" s="13"/>
      <c r="BU72" s="13"/>
      <c r="BV72" s="13"/>
      <c r="BW72" s="13"/>
      <c r="BX72" s="39" t="str">
        <f t="shared" si="58"/>
        <v/>
      </c>
      <c r="BY72" s="47"/>
      <c r="BZ72" s="48" t="str">
        <f t="shared" si="59"/>
        <v/>
      </c>
      <c r="CA72" s="47"/>
      <c r="CB72" s="47"/>
      <c r="CC72" s="47"/>
    </row>
    <row r="73" spans="1:81" ht="14.25" x14ac:dyDescent="0.45">
      <c r="A73" s="10"/>
      <c r="B73" s="10"/>
      <c r="C73" s="10"/>
      <c r="D73" s="10"/>
      <c r="E73" s="10"/>
      <c r="F73" s="10"/>
      <c r="G73" s="10"/>
      <c r="H73" s="25" t="str">
        <f>IFERROR(VLOOKUP(C73,'01_Поставщики'!$A$4:$M$11,2,FALSE()),"")</f>
        <v/>
      </c>
      <c r="I73" s="10"/>
      <c r="J73" s="25" t="str">
        <f>IFERROR(VLOOKUP(C73,'01_Поставщики'!$A$4:$M$11,8,FALSE()),"")</f>
        <v/>
      </c>
      <c r="K73" s="25" t="str">
        <f>IFERROR(VLOOKUP(C73,'01_Поставщики'!$A$4:$M$11,4,FALSE()),"")</f>
        <v/>
      </c>
      <c r="L73" s="25" t="str">
        <f>IFERROR(VLOOKUP(C73,'01_Поставщики'!$A$4:$M$11,10,FALSE()),"")</f>
        <v/>
      </c>
      <c r="M73" s="26" t="str">
        <f>IF(OR(A73="",B73=""),"",IFERROR(SUMIFS('04_Потребность'!$B$4:$B$103,'04_Потребность'!$A$4:$A$103,A73,'04_Потребность'!$C$4:$C$103,B73),0))</f>
        <v/>
      </c>
      <c r="N73" s="11"/>
      <c r="O73" s="10"/>
      <c r="P73" s="10"/>
      <c r="Q73" s="27"/>
      <c r="R73" s="27"/>
      <c r="S73" s="8"/>
      <c r="T73" s="8">
        <f>IFERROR(INDEX('02_Схемы оплаты'!$C$4:$C$19,MATCH($C73&amp;"|"&amp;$G73,'02_Схемы оплаты'!$H$4:$H$19,0)),0)</f>
        <v>0</v>
      </c>
      <c r="U73" s="11"/>
      <c r="V73" s="28"/>
      <c r="W73" s="8"/>
      <c r="X73" s="8">
        <f>IFERROR(INDEX('02_Схемы оплаты'!$D$4:$D$19,MATCH($C73&amp;"|"&amp;$G73,'02_Схемы оплаты'!$H$4:$H$19,0)),0)</f>
        <v>0</v>
      </c>
      <c r="Y73" s="11"/>
      <c r="Z73" s="28"/>
      <c r="AA73" s="8"/>
      <c r="AB73" s="8">
        <f>IFERROR(INDEX('02_Схемы оплаты'!$E$4:$E$19,MATCH($C73&amp;"|"&amp;$G73,'02_Схемы оплаты'!$H$4:$H$19,0)),0)</f>
        <v>0</v>
      </c>
      <c r="AC73" s="11"/>
      <c r="AD73" s="28"/>
      <c r="AE73" s="8"/>
      <c r="AF73" s="10"/>
      <c r="AG73" s="10"/>
      <c r="AH73" s="25">
        <f>IFERROR(SUMIFS('04_Потребность'!$D$4:$D$103,'04_Потребность'!$A$4:$A$103,A73,'04_Потребность'!$C$4:$C$103,B73),0)</f>
        <v>0</v>
      </c>
      <c r="AI73" s="26" t="str">
        <f>IF(OR(A73="",B73=""),"",IFERROR(SUMIFS('04_Потребность'!$E$4:$E$103,'04_Потребность'!$A$4:$A$103,A73,'04_Потребность'!$C$4:$C$103,B73),0))</f>
        <v/>
      </c>
      <c r="AJ73" s="25" t="str">
        <f>IF(OR(A73="",B73=""),"",IFERROR(SUMIFS('04_Потребность'!$F$4:$F$103,'04_Потребность'!$A$4:$A$103,A73,'04_Потребность'!$C$4:$C$103,B73),0))</f>
        <v/>
      </c>
      <c r="AK73" s="29" t="str">
        <f>IF(OR(A73="",B73=""),"",IFERROR(SUMIFS('04_Потребность'!$G$4:$G$103,'04_Потребность'!$A$4:$A$103,A73,'04_Потребность'!$C$4:$C$103,B73),0))</f>
        <v/>
      </c>
      <c r="AL73" s="25" t="str">
        <f>IF('03_Настройки'!$B$7="Нет","Нет",IF(COUNTIFS('04_Потребность'!$A$4:$A$103,A73,'04_Потребность'!$C$4:$C$103,B73,'04_Потребность'!$H$4:$H$103,"Да")&gt;0,"Да","Нет"))</f>
        <v>Нет</v>
      </c>
      <c r="AM73" s="30">
        <f t="shared" si="40"/>
        <v>0</v>
      </c>
      <c r="AN73" s="30">
        <f t="shared" si="41"/>
        <v>0</v>
      </c>
      <c r="AO73" s="29">
        <f t="shared" si="42"/>
        <v>0</v>
      </c>
      <c r="AP73" s="29">
        <f t="shared" si="43"/>
        <v>0</v>
      </c>
      <c r="AQ73" s="29">
        <f t="shared" si="44"/>
        <v>0</v>
      </c>
      <c r="AR73" s="29">
        <f>IFERROR(E73*'03_Настройки'!$B$4/365*(IF(T73&gt;0,T73*V73*(1+W73)*MAX(0,N73-U73),0)+IF(X73&gt;0,X73*Z73*(1+AA73)*MAX(0,N73-Y73),0)+IF(AB73&gt;0,AB73*AD73*(1+AE73)*MAX(0,N73-AC73),0)),0)</f>
        <v>0</v>
      </c>
      <c r="AS73" s="29">
        <f t="shared" si="45"/>
        <v>0</v>
      </c>
      <c r="AT73" s="31">
        <f t="shared" si="46"/>
        <v>0</v>
      </c>
      <c r="AU73" s="31">
        <f t="shared" si="47"/>
        <v>0</v>
      </c>
      <c r="AV73" s="32">
        <f t="shared" si="48"/>
        <v>0</v>
      </c>
      <c r="AW73" s="29" t="e">
        <f t="shared" si="49"/>
        <v>#VALUE!</v>
      </c>
      <c r="AX73" s="29">
        <f t="shared" si="50"/>
        <v>0</v>
      </c>
      <c r="AY73" s="29" t="e">
        <f t="shared" si="51"/>
        <v>#VALUE!</v>
      </c>
      <c r="AZ73" s="25" t="str">
        <f>IF(AND(A73&lt;&gt;"",B73&lt;&gt;"",C73&lt;&gt;"",D73&gt;0,E73&gt;0,N73&lt;&gt;"",AH73&gt;0,O73="Да",P73="Да",BZ73="ПОЛНО",ABS(AN73-1)&lt;='03_Настройки'!$B$5,IF(T73&gt;0,AND(U73&lt;&gt;"",V73&gt;0),TRUE()),IF(X73&gt;0,AND(Y73&lt;&gt;"",Z73&gt;0),TRUE()),IF(AB73&gt;0,AND(AC73&lt;&gt;"",AD73&gt;0),TRUE()),OR(BM73="",BM73="Активна")),"Да","Нет")</f>
        <v>Нет</v>
      </c>
      <c r="BA73" s="25" t="str">
        <f t="shared" si="52"/>
        <v>Нет</v>
      </c>
      <c r="BB73" s="25" t="str">
        <f t="shared" si="53"/>
        <v/>
      </c>
      <c r="BC73" s="25" t="str">
        <f t="shared" si="54"/>
        <v/>
      </c>
      <c r="BD73" s="25" t="str">
        <f t="shared" si="55"/>
        <v/>
      </c>
      <c r="BE73" s="25" t="str">
        <f>IF(A73="","",IF(BZ73&lt;&gt;"ПОЛНО","BLOCK: неполная форма",IF(O73&lt;&gt;"Да","BLOCK: ввоз не разрешён",IF(P73&lt;&gt;"Да","BLOCK: документы не подтверждены",IF(ABS(AN73-1)&gt;'03_Настройки'!$B$5,"BLOCK: платежи не 100%",IF(AND(BM73&lt;&gt;"",BM73&lt;&gt;"Активна"),"BLOCK: позиция "&amp;BM73,IF(BA73&lt;&gt;"Да","PARTIAL: не покрывает потребность",IF(BB73="ДА","самый дешёвый"&amp;IF(BC73="ДА"," + быстрый","")&amp;IF(BD73="ДА"," + optimal",""),IF(BC73="ДА","самый быстрый"&amp;IF(BD73="ДА"," + optimal",""),IF(BD73="ДА","optimal","Допущен"))))))))))</f>
        <v/>
      </c>
      <c r="BF73" s="25">
        <f>ROW()</f>
        <v>73</v>
      </c>
      <c r="BG73" s="33"/>
      <c r="BH73" s="33"/>
      <c r="BI73" s="33"/>
      <c r="BJ73" s="33"/>
      <c r="BK73" s="33"/>
      <c r="BL73" s="34"/>
      <c r="BM73" s="33"/>
      <c r="BN73" s="35" t="str">
        <f t="shared" si="56"/>
        <v/>
      </c>
      <c r="BO73" s="36" t="str">
        <f t="shared" si="57"/>
        <v/>
      </c>
      <c r="BP73" s="33"/>
      <c r="BQ73" s="38"/>
      <c r="BR73" s="13"/>
      <c r="BS73" s="13"/>
      <c r="BT73" s="13"/>
      <c r="BU73" s="13"/>
      <c r="BV73" s="13"/>
      <c r="BW73" s="13"/>
      <c r="BX73" s="39" t="str">
        <f t="shared" si="58"/>
        <v/>
      </c>
      <c r="BY73" s="47"/>
      <c r="BZ73" s="48" t="str">
        <f t="shared" si="59"/>
        <v/>
      </c>
      <c r="CA73" s="47"/>
      <c r="CB73" s="47"/>
      <c r="CC73" s="47"/>
    </row>
    <row r="74" spans="1:81" ht="14.25" x14ac:dyDescent="0.45">
      <c r="A74" s="10"/>
      <c r="B74" s="10"/>
      <c r="C74" s="10"/>
      <c r="D74" s="10"/>
      <c r="E74" s="10"/>
      <c r="F74" s="10"/>
      <c r="G74" s="10"/>
      <c r="H74" s="25" t="str">
        <f>IFERROR(VLOOKUP(C74,'01_Поставщики'!$A$4:$M$11,2,FALSE()),"")</f>
        <v/>
      </c>
      <c r="I74" s="10"/>
      <c r="J74" s="25" t="str">
        <f>IFERROR(VLOOKUP(C74,'01_Поставщики'!$A$4:$M$11,8,FALSE()),"")</f>
        <v/>
      </c>
      <c r="K74" s="25" t="str">
        <f>IFERROR(VLOOKUP(C74,'01_Поставщики'!$A$4:$M$11,4,FALSE()),"")</f>
        <v/>
      </c>
      <c r="L74" s="25" t="str">
        <f>IFERROR(VLOOKUP(C74,'01_Поставщики'!$A$4:$M$11,10,FALSE()),"")</f>
        <v/>
      </c>
      <c r="M74" s="26" t="str">
        <f>IF(OR(A74="",B74=""),"",IFERROR(SUMIFS('04_Потребность'!$B$4:$B$103,'04_Потребность'!$A$4:$A$103,A74,'04_Потребность'!$C$4:$C$103,B74),0))</f>
        <v/>
      </c>
      <c r="N74" s="11"/>
      <c r="O74" s="10"/>
      <c r="P74" s="10"/>
      <c r="Q74" s="27"/>
      <c r="R74" s="27"/>
      <c r="S74" s="8"/>
      <c r="T74" s="8">
        <f>IFERROR(INDEX('02_Схемы оплаты'!$C$4:$C$19,MATCH($C74&amp;"|"&amp;$G74,'02_Схемы оплаты'!$H$4:$H$19,0)),0)</f>
        <v>0</v>
      </c>
      <c r="U74" s="11"/>
      <c r="V74" s="28"/>
      <c r="W74" s="8"/>
      <c r="X74" s="8">
        <f>IFERROR(INDEX('02_Схемы оплаты'!$D$4:$D$19,MATCH($C74&amp;"|"&amp;$G74,'02_Схемы оплаты'!$H$4:$H$19,0)),0)</f>
        <v>0</v>
      </c>
      <c r="Y74" s="11"/>
      <c r="Z74" s="28"/>
      <c r="AA74" s="8"/>
      <c r="AB74" s="8">
        <f>IFERROR(INDEX('02_Схемы оплаты'!$E$4:$E$19,MATCH($C74&amp;"|"&amp;$G74,'02_Схемы оплаты'!$H$4:$H$19,0)),0)</f>
        <v>0</v>
      </c>
      <c r="AC74" s="11"/>
      <c r="AD74" s="28"/>
      <c r="AE74" s="8"/>
      <c r="AF74" s="10"/>
      <c r="AG74" s="10"/>
      <c r="AH74" s="25">
        <f>IFERROR(SUMIFS('04_Потребность'!$D$4:$D$103,'04_Потребность'!$A$4:$A$103,A74,'04_Потребность'!$C$4:$C$103,B74),0)</f>
        <v>0</v>
      </c>
      <c r="AI74" s="26" t="str">
        <f>IF(OR(A74="",B74=""),"",IFERROR(SUMIFS('04_Потребность'!$E$4:$E$103,'04_Потребность'!$A$4:$A$103,A74,'04_Потребность'!$C$4:$C$103,B74),0))</f>
        <v/>
      </c>
      <c r="AJ74" s="25" t="str">
        <f>IF(OR(A74="",B74=""),"",IFERROR(SUMIFS('04_Потребность'!$F$4:$F$103,'04_Потребность'!$A$4:$A$103,A74,'04_Потребность'!$C$4:$C$103,B74),0))</f>
        <v/>
      </c>
      <c r="AK74" s="29" t="str">
        <f>IF(OR(A74="",B74=""),"",IFERROR(SUMIFS('04_Потребность'!$G$4:$G$103,'04_Потребность'!$A$4:$A$103,A74,'04_Потребность'!$C$4:$C$103,B74),0))</f>
        <v/>
      </c>
      <c r="AL74" s="25" t="str">
        <f>IF('03_Настройки'!$B$7="Нет","Нет",IF(COUNTIFS('04_Потребность'!$A$4:$A$103,A74,'04_Потребность'!$C$4:$C$103,B74,'04_Потребность'!$H$4:$H$103,"Да")&gt;0,"Да","Нет"))</f>
        <v>Нет</v>
      </c>
      <c r="AM74" s="30">
        <f t="shared" si="40"/>
        <v>0</v>
      </c>
      <c r="AN74" s="30">
        <f t="shared" si="41"/>
        <v>0</v>
      </c>
      <c r="AO74" s="29">
        <f t="shared" si="42"/>
        <v>0</v>
      </c>
      <c r="AP74" s="29">
        <f t="shared" si="43"/>
        <v>0</v>
      </c>
      <c r="AQ74" s="29">
        <f t="shared" si="44"/>
        <v>0</v>
      </c>
      <c r="AR74" s="29">
        <f>IFERROR(E74*'03_Настройки'!$B$4/365*(IF(T74&gt;0,T74*V74*(1+W74)*MAX(0,N74-U74),0)+IF(X74&gt;0,X74*Z74*(1+AA74)*MAX(0,N74-Y74),0)+IF(AB74&gt;0,AB74*AD74*(1+AE74)*MAX(0,N74-AC74),0)),0)</f>
        <v>0</v>
      </c>
      <c r="AS74" s="29">
        <f t="shared" si="45"/>
        <v>0</v>
      </c>
      <c r="AT74" s="31">
        <f t="shared" si="46"/>
        <v>0</v>
      </c>
      <c r="AU74" s="31">
        <f t="shared" si="47"/>
        <v>0</v>
      </c>
      <c r="AV74" s="32">
        <f t="shared" si="48"/>
        <v>0</v>
      </c>
      <c r="AW74" s="29" t="e">
        <f t="shared" si="49"/>
        <v>#VALUE!</v>
      </c>
      <c r="AX74" s="29">
        <f t="shared" si="50"/>
        <v>0</v>
      </c>
      <c r="AY74" s="29" t="e">
        <f t="shared" si="51"/>
        <v>#VALUE!</v>
      </c>
      <c r="AZ74" s="25" t="str">
        <f>IF(AND(A74&lt;&gt;"",B74&lt;&gt;"",C74&lt;&gt;"",D74&gt;0,E74&gt;0,N74&lt;&gt;"",AH74&gt;0,O74="Да",P74="Да",BZ74="ПОЛНО",ABS(AN74-1)&lt;='03_Настройки'!$B$5,IF(T74&gt;0,AND(U74&lt;&gt;"",V74&gt;0),TRUE()),IF(X74&gt;0,AND(Y74&lt;&gt;"",Z74&gt;0),TRUE()),IF(AB74&gt;0,AND(AC74&lt;&gt;"",AD74&gt;0),TRUE()),OR(BM74="",BM74="Активна")),"Да","Нет")</f>
        <v>Нет</v>
      </c>
      <c r="BA74" s="25" t="str">
        <f t="shared" si="52"/>
        <v>Нет</v>
      </c>
      <c r="BB74" s="25" t="str">
        <f t="shared" si="53"/>
        <v/>
      </c>
      <c r="BC74" s="25" t="str">
        <f t="shared" si="54"/>
        <v/>
      </c>
      <c r="BD74" s="25" t="str">
        <f t="shared" si="55"/>
        <v/>
      </c>
      <c r="BE74" s="25" t="str">
        <f>IF(A74="","",IF(BZ74&lt;&gt;"ПОЛНО","BLOCK: неполная форма",IF(O74&lt;&gt;"Да","BLOCK: ввоз не разрешён",IF(P74&lt;&gt;"Да","BLOCK: документы не подтверждены",IF(ABS(AN74-1)&gt;'03_Настройки'!$B$5,"BLOCK: платежи не 100%",IF(AND(BM74&lt;&gt;"",BM74&lt;&gt;"Активна"),"BLOCK: позиция "&amp;BM74,IF(BA74&lt;&gt;"Да","PARTIAL: не покрывает потребность",IF(BB74="ДА","самый дешёвый"&amp;IF(BC74="ДА"," + быстрый","")&amp;IF(BD74="ДА"," + optimal",""),IF(BC74="ДА","самый быстрый"&amp;IF(BD74="ДА"," + optimal",""),IF(BD74="ДА","optimal","Допущен"))))))))))</f>
        <v/>
      </c>
      <c r="BF74" s="25">
        <f>ROW()</f>
        <v>74</v>
      </c>
      <c r="BG74" s="33"/>
      <c r="BH74" s="33"/>
      <c r="BI74" s="33"/>
      <c r="BJ74" s="33"/>
      <c r="BK74" s="33"/>
      <c r="BL74" s="34"/>
      <c r="BM74" s="33"/>
      <c r="BN74" s="35" t="str">
        <f t="shared" si="56"/>
        <v/>
      </c>
      <c r="BO74" s="36" t="str">
        <f t="shared" si="57"/>
        <v/>
      </c>
      <c r="BP74" s="33"/>
      <c r="BQ74" s="38"/>
      <c r="BR74" s="13"/>
      <c r="BS74" s="13"/>
      <c r="BT74" s="13"/>
      <c r="BU74" s="13"/>
      <c r="BV74" s="13"/>
      <c r="BW74" s="13"/>
      <c r="BX74" s="39" t="str">
        <f t="shared" si="58"/>
        <v/>
      </c>
      <c r="BY74" s="47"/>
      <c r="BZ74" s="48" t="str">
        <f t="shared" si="59"/>
        <v/>
      </c>
      <c r="CA74" s="47"/>
      <c r="CB74" s="47"/>
      <c r="CC74" s="47"/>
    </row>
    <row r="75" spans="1:81" ht="14.25" x14ac:dyDescent="0.45">
      <c r="A75" s="10"/>
      <c r="B75" s="10"/>
      <c r="C75" s="10"/>
      <c r="D75" s="10"/>
      <c r="E75" s="10"/>
      <c r="F75" s="10"/>
      <c r="G75" s="10"/>
      <c r="H75" s="25" t="str">
        <f>IFERROR(VLOOKUP(C75,'01_Поставщики'!$A$4:$M$11,2,FALSE()),"")</f>
        <v/>
      </c>
      <c r="I75" s="10"/>
      <c r="J75" s="25" t="str">
        <f>IFERROR(VLOOKUP(C75,'01_Поставщики'!$A$4:$M$11,8,FALSE()),"")</f>
        <v/>
      </c>
      <c r="K75" s="25" t="str">
        <f>IFERROR(VLOOKUP(C75,'01_Поставщики'!$A$4:$M$11,4,FALSE()),"")</f>
        <v/>
      </c>
      <c r="L75" s="25" t="str">
        <f>IFERROR(VLOOKUP(C75,'01_Поставщики'!$A$4:$M$11,10,FALSE()),"")</f>
        <v/>
      </c>
      <c r="M75" s="26" t="str">
        <f>IF(OR(A75="",B75=""),"",IFERROR(SUMIFS('04_Потребность'!$B$4:$B$103,'04_Потребность'!$A$4:$A$103,A75,'04_Потребность'!$C$4:$C$103,B75),0))</f>
        <v/>
      </c>
      <c r="N75" s="11"/>
      <c r="O75" s="10"/>
      <c r="P75" s="10"/>
      <c r="Q75" s="27"/>
      <c r="R75" s="27"/>
      <c r="S75" s="8"/>
      <c r="T75" s="8">
        <f>IFERROR(INDEX('02_Схемы оплаты'!$C$4:$C$19,MATCH($C75&amp;"|"&amp;$G75,'02_Схемы оплаты'!$H$4:$H$19,0)),0)</f>
        <v>0</v>
      </c>
      <c r="U75" s="11"/>
      <c r="V75" s="28"/>
      <c r="W75" s="8"/>
      <c r="X75" s="8">
        <f>IFERROR(INDEX('02_Схемы оплаты'!$D$4:$D$19,MATCH($C75&amp;"|"&amp;$G75,'02_Схемы оплаты'!$H$4:$H$19,0)),0)</f>
        <v>0</v>
      </c>
      <c r="Y75" s="11"/>
      <c r="Z75" s="28"/>
      <c r="AA75" s="8"/>
      <c r="AB75" s="8">
        <f>IFERROR(INDEX('02_Схемы оплаты'!$E$4:$E$19,MATCH($C75&amp;"|"&amp;$G75,'02_Схемы оплаты'!$H$4:$H$19,0)),0)</f>
        <v>0</v>
      </c>
      <c r="AC75" s="11"/>
      <c r="AD75" s="28"/>
      <c r="AE75" s="8"/>
      <c r="AF75" s="10"/>
      <c r="AG75" s="10"/>
      <c r="AH75" s="25">
        <f>IFERROR(SUMIFS('04_Потребность'!$D$4:$D$103,'04_Потребность'!$A$4:$A$103,A75,'04_Потребность'!$C$4:$C$103,B75),0)</f>
        <v>0</v>
      </c>
      <c r="AI75" s="26" t="str">
        <f>IF(OR(A75="",B75=""),"",IFERROR(SUMIFS('04_Потребность'!$E$4:$E$103,'04_Потребность'!$A$4:$A$103,A75,'04_Потребность'!$C$4:$C$103,B75),0))</f>
        <v/>
      </c>
      <c r="AJ75" s="25" t="str">
        <f>IF(OR(A75="",B75=""),"",IFERROR(SUMIFS('04_Потребность'!$F$4:$F$103,'04_Потребность'!$A$4:$A$103,A75,'04_Потребность'!$C$4:$C$103,B75),0))</f>
        <v/>
      </c>
      <c r="AK75" s="29" t="str">
        <f>IF(OR(A75="",B75=""),"",IFERROR(SUMIFS('04_Потребность'!$G$4:$G$103,'04_Потребность'!$A$4:$A$103,A75,'04_Потребность'!$C$4:$C$103,B75),0))</f>
        <v/>
      </c>
      <c r="AL75" s="25" t="str">
        <f>IF('03_Настройки'!$B$7="Нет","Нет",IF(COUNTIFS('04_Потребность'!$A$4:$A$103,A75,'04_Потребность'!$C$4:$C$103,B75,'04_Потребность'!$H$4:$H$103,"Да")&gt;0,"Да","Нет"))</f>
        <v>Нет</v>
      </c>
      <c r="AM75" s="30">
        <f t="shared" si="40"/>
        <v>0</v>
      </c>
      <c r="AN75" s="30">
        <f t="shared" si="41"/>
        <v>0</v>
      </c>
      <c r="AO75" s="29">
        <f t="shared" si="42"/>
        <v>0</v>
      </c>
      <c r="AP75" s="29">
        <f t="shared" si="43"/>
        <v>0</v>
      </c>
      <c r="AQ75" s="29">
        <f t="shared" si="44"/>
        <v>0</v>
      </c>
      <c r="AR75" s="29">
        <f>IFERROR(E75*'03_Настройки'!$B$4/365*(IF(T75&gt;0,T75*V75*(1+W75)*MAX(0,N75-U75),0)+IF(X75&gt;0,X75*Z75*(1+AA75)*MAX(0,N75-Y75),0)+IF(AB75&gt;0,AB75*AD75*(1+AE75)*MAX(0,N75-AC75),0)),0)</f>
        <v>0</v>
      </c>
      <c r="AS75" s="29">
        <f t="shared" si="45"/>
        <v>0</v>
      </c>
      <c r="AT75" s="31">
        <f t="shared" si="46"/>
        <v>0</v>
      </c>
      <c r="AU75" s="31">
        <f t="shared" si="47"/>
        <v>0</v>
      </c>
      <c r="AV75" s="32">
        <f t="shared" si="48"/>
        <v>0</v>
      </c>
      <c r="AW75" s="29" t="e">
        <f t="shared" si="49"/>
        <v>#VALUE!</v>
      </c>
      <c r="AX75" s="29">
        <f t="shared" si="50"/>
        <v>0</v>
      </c>
      <c r="AY75" s="29" t="e">
        <f t="shared" si="51"/>
        <v>#VALUE!</v>
      </c>
      <c r="AZ75" s="25" t="str">
        <f>IF(AND(A75&lt;&gt;"",B75&lt;&gt;"",C75&lt;&gt;"",D75&gt;0,E75&gt;0,N75&lt;&gt;"",AH75&gt;0,O75="Да",P75="Да",BZ75="ПОЛНО",ABS(AN75-1)&lt;='03_Настройки'!$B$5,IF(T75&gt;0,AND(U75&lt;&gt;"",V75&gt;0),TRUE()),IF(X75&gt;0,AND(Y75&lt;&gt;"",Z75&gt;0),TRUE()),IF(AB75&gt;0,AND(AC75&lt;&gt;"",AD75&gt;0),TRUE()),OR(BM75="",BM75="Активна")),"Да","Нет")</f>
        <v>Нет</v>
      </c>
      <c r="BA75" s="25" t="str">
        <f t="shared" si="52"/>
        <v>Нет</v>
      </c>
      <c r="BB75" s="25" t="str">
        <f t="shared" si="53"/>
        <v/>
      </c>
      <c r="BC75" s="25" t="str">
        <f t="shared" si="54"/>
        <v/>
      </c>
      <c r="BD75" s="25" t="str">
        <f t="shared" si="55"/>
        <v/>
      </c>
      <c r="BE75" s="25" t="str">
        <f>IF(A75="","",IF(BZ75&lt;&gt;"ПОЛНО","BLOCK: неполная форма",IF(O75&lt;&gt;"Да","BLOCK: ввоз не разрешён",IF(P75&lt;&gt;"Да","BLOCK: документы не подтверждены",IF(ABS(AN75-1)&gt;'03_Настройки'!$B$5,"BLOCK: платежи не 100%",IF(AND(BM75&lt;&gt;"",BM75&lt;&gt;"Активна"),"BLOCK: позиция "&amp;BM75,IF(BA75&lt;&gt;"Да","PARTIAL: не покрывает потребность",IF(BB75="ДА","самый дешёвый"&amp;IF(BC75="ДА"," + быстрый","")&amp;IF(BD75="ДА"," + optimal",""),IF(BC75="ДА","самый быстрый"&amp;IF(BD75="ДА"," + optimal",""),IF(BD75="ДА","optimal","Допущен"))))))))))</f>
        <v/>
      </c>
      <c r="BF75" s="25">
        <f>ROW()</f>
        <v>75</v>
      </c>
      <c r="BG75" s="33"/>
      <c r="BH75" s="33"/>
      <c r="BI75" s="33"/>
      <c r="BJ75" s="33"/>
      <c r="BK75" s="33"/>
      <c r="BL75" s="34"/>
      <c r="BM75" s="33"/>
      <c r="BN75" s="35" t="str">
        <f t="shared" si="56"/>
        <v/>
      </c>
      <c r="BO75" s="36" t="str">
        <f t="shared" si="57"/>
        <v/>
      </c>
      <c r="BP75" s="33"/>
      <c r="BQ75" s="38"/>
      <c r="BR75" s="13"/>
      <c r="BS75" s="13"/>
      <c r="BT75" s="13"/>
      <c r="BU75" s="13"/>
      <c r="BV75" s="13"/>
      <c r="BW75" s="13"/>
      <c r="BX75" s="39" t="str">
        <f t="shared" si="58"/>
        <v/>
      </c>
      <c r="BY75" s="47"/>
      <c r="BZ75" s="48" t="str">
        <f t="shared" si="59"/>
        <v/>
      </c>
      <c r="CA75" s="47"/>
      <c r="CB75" s="47"/>
      <c r="CC75" s="47"/>
    </row>
    <row r="76" spans="1:81" ht="14.25" x14ac:dyDescent="0.45">
      <c r="A76" s="10"/>
      <c r="B76" s="10"/>
      <c r="C76" s="10"/>
      <c r="D76" s="10"/>
      <c r="E76" s="10"/>
      <c r="F76" s="10"/>
      <c r="G76" s="10"/>
      <c r="H76" s="25" t="str">
        <f>IFERROR(VLOOKUP(C76,'01_Поставщики'!$A$4:$M$11,2,FALSE()),"")</f>
        <v/>
      </c>
      <c r="I76" s="10"/>
      <c r="J76" s="25" t="str">
        <f>IFERROR(VLOOKUP(C76,'01_Поставщики'!$A$4:$M$11,8,FALSE()),"")</f>
        <v/>
      </c>
      <c r="K76" s="25" t="str">
        <f>IFERROR(VLOOKUP(C76,'01_Поставщики'!$A$4:$M$11,4,FALSE()),"")</f>
        <v/>
      </c>
      <c r="L76" s="25" t="str">
        <f>IFERROR(VLOOKUP(C76,'01_Поставщики'!$A$4:$M$11,10,FALSE()),"")</f>
        <v/>
      </c>
      <c r="M76" s="26" t="str">
        <f>IF(OR(A76="",B76=""),"",IFERROR(SUMIFS('04_Потребность'!$B$4:$B$103,'04_Потребность'!$A$4:$A$103,A76,'04_Потребность'!$C$4:$C$103,B76),0))</f>
        <v/>
      </c>
      <c r="N76" s="11"/>
      <c r="O76" s="10"/>
      <c r="P76" s="10"/>
      <c r="Q76" s="27"/>
      <c r="R76" s="27"/>
      <c r="S76" s="8"/>
      <c r="T76" s="8">
        <f>IFERROR(INDEX('02_Схемы оплаты'!$C$4:$C$19,MATCH($C76&amp;"|"&amp;$G76,'02_Схемы оплаты'!$H$4:$H$19,0)),0)</f>
        <v>0</v>
      </c>
      <c r="U76" s="11"/>
      <c r="V76" s="28"/>
      <c r="W76" s="8"/>
      <c r="X76" s="8">
        <f>IFERROR(INDEX('02_Схемы оплаты'!$D$4:$D$19,MATCH($C76&amp;"|"&amp;$G76,'02_Схемы оплаты'!$H$4:$H$19,0)),0)</f>
        <v>0</v>
      </c>
      <c r="Y76" s="11"/>
      <c r="Z76" s="28"/>
      <c r="AA76" s="8"/>
      <c r="AB76" s="8">
        <f>IFERROR(INDEX('02_Схемы оплаты'!$E$4:$E$19,MATCH($C76&amp;"|"&amp;$G76,'02_Схемы оплаты'!$H$4:$H$19,0)),0)</f>
        <v>0</v>
      </c>
      <c r="AC76" s="11"/>
      <c r="AD76" s="28"/>
      <c r="AE76" s="8"/>
      <c r="AF76" s="10"/>
      <c r="AG76" s="10"/>
      <c r="AH76" s="25">
        <f>IFERROR(SUMIFS('04_Потребность'!$D$4:$D$103,'04_Потребность'!$A$4:$A$103,A76,'04_Потребность'!$C$4:$C$103,B76),0)</f>
        <v>0</v>
      </c>
      <c r="AI76" s="26" t="str">
        <f>IF(OR(A76="",B76=""),"",IFERROR(SUMIFS('04_Потребность'!$E$4:$E$103,'04_Потребность'!$A$4:$A$103,A76,'04_Потребность'!$C$4:$C$103,B76),0))</f>
        <v/>
      </c>
      <c r="AJ76" s="25" t="str">
        <f>IF(OR(A76="",B76=""),"",IFERROR(SUMIFS('04_Потребность'!$F$4:$F$103,'04_Потребность'!$A$4:$A$103,A76,'04_Потребность'!$C$4:$C$103,B76),0))</f>
        <v/>
      </c>
      <c r="AK76" s="29" t="str">
        <f>IF(OR(A76="",B76=""),"",IFERROR(SUMIFS('04_Потребность'!$G$4:$G$103,'04_Потребность'!$A$4:$A$103,A76,'04_Потребность'!$C$4:$C$103,B76),0))</f>
        <v/>
      </c>
      <c r="AL76" s="25" t="str">
        <f>IF('03_Настройки'!$B$7="Нет","Нет",IF(COUNTIFS('04_Потребность'!$A$4:$A$103,A76,'04_Потребность'!$C$4:$C$103,B76,'04_Потребность'!$H$4:$H$103,"Да")&gt;0,"Да","Нет"))</f>
        <v>Нет</v>
      </c>
      <c r="AM76" s="30">
        <f t="shared" si="40"/>
        <v>0</v>
      </c>
      <c r="AN76" s="30">
        <f t="shared" si="41"/>
        <v>0</v>
      </c>
      <c r="AO76" s="29">
        <f t="shared" si="42"/>
        <v>0</v>
      </c>
      <c r="AP76" s="29">
        <f t="shared" si="43"/>
        <v>0</v>
      </c>
      <c r="AQ76" s="29">
        <f t="shared" si="44"/>
        <v>0</v>
      </c>
      <c r="AR76" s="29">
        <f>IFERROR(E76*'03_Настройки'!$B$4/365*(IF(T76&gt;0,T76*V76*(1+W76)*MAX(0,N76-U76),0)+IF(X76&gt;0,X76*Z76*(1+AA76)*MAX(0,N76-Y76),0)+IF(AB76&gt;0,AB76*AD76*(1+AE76)*MAX(0,N76-AC76),0)),0)</f>
        <v>0</v>
      </c>
      <c r="AS76" s="29">
        <f t="shared" si="45"/>
        <v>0</v>
      </c>
      <c r="AT76" s="31">
        <f t="shared" si="46"/>
        <v>0</v>
      </c>
      <c r="AU76" s="31">
        <f t="shared" si="47"/>
        <v>0</v>
      </c>
      <c r="AV76" s="32">
        <f t="shared" si="48"/>
        <v>0</v>
      </c>
      <c r="AW76" s="29" t="e">
        <f t="shared" si="49"/>
        <v>#VALUE!</v>
      </c>
      <c r="AX76" s="29">
        <f t="shared" si="50"/>
        <v>0</v>
      </c>
      <c r="AY76" s="29" t="e">
        <f t="shared" si="51"/>
        <v>#VALUE!</v>
      </c>
      <c r="AZ76" s="25" t="str">
        <f>IF(AND(A76&lt;&gt;"",B76&lt;&gt;"",C76&lt;&gt;"",D76&gt;0,E76&gt;0,N76&lt;&gt;"",AH76&gt;0,O76="Да",P76="Да",BZ76="ПОЛНО",ABS(AN76-1)&lt;='03_Настройки'!$B$5,IF(T76&gt;0,AND(U76&lt;&gt;"",V76&gt;0),TRUE()),IF(X76&gt;0,AND(Y76&lt;&gt;"",Z76&gt;0),TRUE()),IF(AB76&gt;0,AND(AC76&lt;&gt;"",AD76&gt;0),TRUE()),OR(BM76="",BM76="Активна")),"Да","Нет")</f>
        <v>Нет</v>
      </c>
      <c r="BA76" s="25" t="str">
        <f t="shared" si="52"/>
        <v>Нет</v>
      </c>
      <c r="BB76" s="25" t="str">
        <f t="shared" si="53"/>
        <v/>
      </c>
      <c r="BC76" s="25" t="str">
        <f t="shared" si="54"/>
        <v/>
      </c>
      <c r="BD76" s="25" t="str">
        <f t="shared" si="55"/>
        <v/>
      </c>
      <c r="BE76" s="25" t="str">
        <f>IF(A76="","",IF(BZ76&lt;&gt;"ПОЛНО","BLOCK: неполная форма",IF(O76&lt;&gt;"Да","BLOCK: ввоз не разрешён",IF(P76&lt;&gt;"Да","BLOCK: документы не подтверждены",IF(ABS(AN76-1)&gt;'03_Настройки'!$B$5,"BLOCK: платежи не 100%",IF(AND(BM76&lt;&gt;"",BM76&lt;&gt;"Активна"),"BLOCK: позиция "&amp;BM76,IF(BA76&lt;&gt;"Да","PARTIAL: не покрывает потребность",IF(BB76="ДА","самый дешёвый"&amp;IF(BC76="ДА"," + быстрый","")&amp;IF(BD76="ДА"," + optimal",""),IF(BC76="ДА","самый быстрый"&amp;IF(BD76="ДА"," + optimal",""),IF(BD76="ДА","optimal","Допущен"))))))))))</f>
        <v/>
      </c>
      <c r="BF76" s="25">
        <f>ROW()</f>
        <v>76</v>
      </c>
      <c r="BG76" s="33"/>
      <c r="BH76" s="33"/>
      <c r="BI76" s="33"/>
      <c r="BJ76" s="33"/>
      <c r="BK76" s="33"/>
      <c r="BL76" s="34"/>
      <c r="BM76" s="33"/>
      <c r="BN76" s="35" t="str">
        <f t="shared" si="56"/>
        <v/>
      </c>
      <c r="BO76" s="36" t="str">
        <f t="shared" si="57"/>
        <v/>
      </c>
      <c r="BP76" s="33"/>
      <c r="BQ76" s="38"/>
      <c r="BR76" s="13"/>
      <c r="BS76" s="13"/>
      <c r="BT76" s="13"/>
      <c r="BU76" s="13"/>
      <c r="BV76" s="13"/>
      <c r="BW76" s="13"/>
      <c r="BX76" s="39" t="str">
        <f t="shared" si="58"/>
        <v/>
      </c>
      <c r="BY76" s="47"/>
      <c r="BZ76" s="48" t="str">
        <f t="shared" si="59"/>
        <v/>
      </c>
      <c r="CA76" s="47"/>
      <c r="CB76" s="47"/>
      <c r="CC76" s="47"/>
    </row>
    <row r="77" spans="1:81" ht="14.25" x14ac:dyDescent="0.45">
      <c r="A77" s="10"/>
      <c r="B77" s="10"/>
      <c r="C77" s="10"/>
      <c r="D77" s="10"/>
      <c r="E77" s="10"/>
      <c r="F77" s="10"/>
      <c r="G77" s="10"/>
      <c r="H77" s="25" t="str">
        <f>IFERROR(VLOOKUP(C77,'01_Поставщики'!$A$4:$M$11,2,FALSE()),"")</f>
        <v/>
      </c>
      <c r="I77" s="10"/>
      <c r="J77" s="25" t="str">
        <f>IFERROR(VLOOKUP(C77,'01_Поставщики'!$A$4:$M$11,8,FALSE()),"")</f>
        <v/>
      </c>
      <c r="K77" s="25" t="str">
        <f>IFERROR(VLOOKUP(C77,'01_Поставщики'!$A$4:$M$11,4,FALSE()),"")</f>
        <v/>
      </c>
      <c r="L77" s="25" t="str">
        <f>IFERROR(VLOOKUP(C77,'01_Поставщики'!$A$4:$M$11,10,FALSE()),"")</f>
        <v/>
      </c>
      <c r="M77" s="26" t="str">
        <f>IF(OR(A77="",B77=""),"",IFERROR(SUMIFS('04_Потребность'!$B$4:$B$103,'04_Потребность'!$A$4:$A$103,A77,'04_Потребность'!$C$4:$C$103,B77),0))</f>
        <v/>
      </c>
      <c r="N77" s="11"/>
      <c r="O77" s="10"/>
      <c r="P77" s="10"/>
      <c r="Q77" s="27"/>
      <c r="R77" s="27"/>
      <c r="S77" s="8"/>
      <c r="T77" s="8">
        <f>IFERROR(INDEX('02_Схемы оплаты'!$C$4:$C$19,MATCH($C77&amp;"|"&amp;$G77,'02_Схемы оплаты'!$H$4:$H$19,0)),0)</f>
        <v>0</v>
      </c>
      <c r="U77" s="11"/>
      <c r="V77" s="28"/>
      <c r="W77" s="8"/>
      <c r="X77" s="8">
        <f>IFERROR(INDEX('02_Схемы оплаты'!$D$4:$D$19,MATCH($C77&amp;"|"&amp;$G77,'02_Схемы оплаты'!$H$4:$H$19,0)),0)</f>
        <v>0</v>
      </c>
      <c r="Y77" s="11"/>
      <c r="Z77" s="28"/>
      <c r="AA77" s="8"/>
      <c r="AB77" s="8">
        <f>IFERROR(INDEX('02_Схемы оплаты'!$E$4:$E$19,MATCH($C77&amp;"|"&amp;$G77,'02_Схемы оплаты'!$H$4:$H$19,0)),0)</f>
        <v>0</v>
      </c>
      <c r="AC77" s="11"/>
      <c r="AD77" s="28"/>
      <c r="AE77" s="8"/>
      <c r="AF77" s="10"/>
      <c r="AG77" s="10"/>
      <c r="AH77" s="25">
        <f>IFERROR(SUMIFS('04_Потребность'!$D$4:$D$103,'04_Потребность'!$A$4:$A$103,A77,'04_Потребность'!$C$4:$C$103,B77),0)</f>
        <v>0</v>
      </c>
      <c r="AI77" s="26" t="str">
        <f>IF(OR(A77="",B77=""),"",IFERROR(SUMIFS('04_Потребность'!$E$4:$E$103,'04_Потребность'!$A$4:$A$103,A77,'04_Потребность'!$C$4:$C$103,B77),0))</f>
        <v/>
      </c>
      <c r="AJ77" s="25" t="str">
        <f>IF(OR(A77="",B77=""),"",IFERROR(SUMIFS('04_Потребность'!$F$4:$F$103,'04_Потребность'!$A$4:$A$103,A77,'04_Потребность'!$C$4:$C$103,B77),0))</f>
        <v/>
      </c>
      <c r="AK77" s="29" t="str">
        <f>IF(OR(A77="",B77=""),"",IFERROR(SUMIFS('04_Потребность'!$G$4:$G$103,'04_Потребность'!$A$4:$A$103,A77,'04_Потребность'!$C$4:$C$103,B77),0))</f>
        <v/>
      </c>
      <c r="AL77" s="25" t="str">
        <f>IF('03_Настройки'!$B$7="Нет","Нет",IF(COUNTIFS('04_Потребность'!$A$4:$A$103,A77,'04_Потребность'!$C$4:$C$103,B77,'04_Потребность'!$H$4:$H$103,"Да")&gt;0,"Да","Нет"))</f>
        <v>Нет</v>
      </c>
      <c r="AM77" s="30">
        <f t="shared" si="40"/>
        <v>0</v>
      </c>
      <c r="AN77" s="30">
        <f t="shared" si="41"/>
        <v>0</v>
      </c>
      <c r="AO77" s="29">
        <f t="shared" si="42"/>
        <v>0</v>
      </c>
      <c r="AP77" s="29">
        <f t="shared" si="43"/>
        <v>0</v>
      </c>
      <c r="AQ77" s="29">
        <f t="shared" si="44"/>
        <v>0</v>
      </c>
      <c r="AR77" s="29">
        <f>IFERROR(E77*'03_Настройки'!$B$4/365*(IF(T77&gt;0,T77*V77*(1+W77)*MAX(0,N77-U77),0)+IF(X77&gt;0,X77*Z77*(1+AA77)*MAX(0,N77-Y77),0)+IF(AB77&gt;0,AB77*AD77*(1+AE77)*MAX(0,N77-AC77),0)),0)</f>
        <v>0</v>
      </c>
      <c r="AS77" s="29">
        <f t="shared" si="45"/>
        <v>0</v>
      </c>
      <c r="AT77" s="31">
        <f t="shared" si="46"/>
        <v>0</v>
      </c>
      <c r="AU77" s="31">
        <f t="shared" si="47"/>
        <v>0</v>
      </c>
      <c r="AV77" s="32">
        <f t="shared" si="48"/>
        <v>0</v>
      </c>
      <c r="AW77" s="29" t="e">
        <f t="shared" si="49"/>
        <v>#VALUE!</v>
      </c>
      <c r="AX77" s="29">
        <f t="shared" si="50"/>
        <v>0</v>
      </c>
      <c r="AY77" s="29" t="e">
        <f t="shared" si="51"/>
        <v>#VALUE!</v>
      </c>
      <c r="AZ77" s="25" t="str">
        <f>IF(AND(A77&lt;&gt;"",B77&lt;&gt;"",C77&lt;&gt;"",D77&gt;0,E77&gt;0,N77&lt;&gt;"",AH77&gt;0,O77="Да",P77="Да",BZ77="ПОЛНО",ABS(AN77-1)&lt;='03_Настройки'!$B$5,IF(T77&gt;0,AND(U77&lt;&gt;"",V77&gt;0),TRUE()),IF(X77&gt;0,AND(Y77&lt;&gt;"",Z77&gt;0),TRUE()),IF(AB77&gt;0,AND(AC77&lt;&gt;"",AD77&gt;0),TRUE()),OR(BM77="",BM77="Активна")),"Да","Нет")</f>
        <v>Нет</v>
      </c>
      <c r="BA77" s="25" t="str">
        <f t="shared" si="52"/>
        <v>Нет</v>
      </c>
      <c r="BB77" s="25" t="str">
        <f t="shared" si="53"/>
        <v/>
      </c>
      <c r="BC77" s="25" t="str">
        <f t="shared" si="54"/>
        <v/>
      </c>
      <c r="BD77" s="25" t="str">
        <f t="shared" si="55"/>
        <v/>
      </c>
      <c r="BE77" s="25" t="str">
        <f>IF(A77="","",IF(BZ77&lt;&gt;"ПОЛНО","BLOCK: неполная форма",IF(O77&lt;&gt;"Да","BLOCK: ввоз не разрешён",IF(P77&lt;&gt;"Да","BLOCK: документы не подтверждены",IF(ABS(AN77-1)&gt;'03_Настройки'!$B$5,"BLOCK: платежи не 100%",IF(AND(BM77&lt;&gt;"",BM77&lt;&gt;"Активна"),"BLOCK: позиция "&amp;BM77,IF(BA77&lt;&gt;"Да","PARTIAL: не покрывает потребность",IF(BB77="ДА","самый дешёвый"&amp;IF(BC77="ДА"," + быстрый","")&amp;IF(BD77="ДА"," + optimal",""),IF(BC77="ДА","самый быстрый"&amp;IF(BD77="ДА"," + optimal",""),IF(BD77="ДА","optimal","Допущен"))))))))))</f>
        <v/>
      </c>
      <c r="BF77" s="25">
        <f>ROW()</f>
        <v>77</v>
      </c>
      <c r="BG77" s="33"/>
      <c r="BH77" s="33"/>
      <c r="BI77" s="33"/>
      <c r="BJ77" s="33"/>
      <c r="BK77" s="33"/>
      <c r="BL77" s="34"/>
      <c r="BM77" s="33"/>
      <c r="BN77" s="35" t="str">
        <f t="shared" si="56"/>
        <v/>
      </c>
      <c r="BO77" s="36" t="str">
        <f t="shared" si="57"/>
        <v/>
      </c>
      <c r="BP77" s="33"/>
      <c r="BQ77" s="38"/>
      <c r="BR77" s="13"/>
      <c r="BS77" s="13"/>
      <c r="BT77" s="13"/>
      <c r="BU77" s="13"/>
      <c r="BV77" s="13"/>
      <c r="BW77" s="13"/>
      <c r="BX77" s="39" t="str">
        <f t="shared" si="58"/>
        <v/>
      </c>
      <c r="BY77" s="47"/>
      <c r="BZ77" s="48" t="str">
        <f t="shared" si="59"/>
        <v/>
      </c>
      <c r="CA77" s="47"/>
      <c r="CB77" s="47"/>
      <c r="CC77" s="47"/>
    </row>
    <row r="78" spans="1:81" ht="14.25" x14ac:dyDescent="0.45">
      <c r="A78" s="10"/>
      <c r="B78" s="10"/>
      <c r="C78" s="10"/>
      <c r="D78" s="10"/>
      <c r="E78" s="10"/>
      <c r="F78" s="10"/>
      <c r="G78" s="10"/>
      <c r="H78" s="25" t="str">
        <f>IFERROR(VLOOKUP(C78,'01_Поставщики'!$A$4:$M$11,2,FALSE()),"")</f>
        <v/>
      </c>
      <c r="I78" s="10"/>
      <c r="J78" s="25" t="str">
        <f>IFERROR(VLOOKUP(C78,'01_Поставщики'!$A$4:$M$11,8,FALSE()),"")</f>
        <v/>
      </c>
      <c r="K78" s="25" t="str">
        <f>IFERROR(VLOOKUP(C78,'01_Поставщики'!$A$4:$M$11,4,FALSE()),"")</f>
        <v/>
      </c>
      <c r="L78" s="25" t="str">
        <f>IFERROR(VLOOKUP(C78,'01_Поставщики'!$A$4:$M$11,10,FALSE()),"")</f>
        <v/>
      </c>
      <c r="M78" s="26" t="str">
        <f>IF(OR(A78="",B78=""),"",IFERROR(SUMIFS('04_Потребность'!$B$4:$B$103,'04_Потребность'!$A$4:$A$103,A78,'04_Потребность'!$C$4:$C$103,B78),0))</f>
        <v/>
      </c>
      <c r="N78" s="11"/>
      <c r="O78" s="10"/>
      <c r="P78" s="10"/>
      <c r="Q78" s="27"/>
      <c r="R78" s="27"/>
      <c r="S78" s="8"/>
      <c r="T78" s="8">
        <f>IFERROR(INDEX('02_Схемы оплаты'!$C$4:$C$19,MATCH($C78&amp;"|"&amp;$G78,'02_Схемы оплаты'!$H$4:$H$19,0)),0)</f>
        <v>0</v>
      </c>
      <c r="U78" s="11"/>
      <c r="V78" s="28"/>
      <c r="W78" s="8"/>
      <c r="X78" s="8">
        <f>IFERROR(INDEX('02_Схемы оплаты'!$D$4:$D$19,MATCH($C78&amp;"|"&amp;$G78,'02_Схемы оплаты'!$H$4:$H$19,0)),0)</f>
        <v>0</v>
      </c>
      <c r="Y78" s="11"/>
      <c r="Z78" s="28"/>
      <c r="AA78" s="8"/>
      <c r="AB78" s="8">
        <f>IFERROR(INDEX('02_Схемы оплаты'!$E$4:$E$19,MATCH($C78&amp;"|"&amp;$G78,'02_Схемы оплаты'!$H$4:$H$19,0)),0)</f>
        <v>0</v>
      </c>
      <c r="AC78" s="11"/>
      <c r="AD78" s="28"/>
      <c r="AE78" s="8"/>
      <c r="AF78" s="10"/>
      <c r="AG78" s="10"/>
      <c r="AH78" s="25">
        <f>IFERROR(SUMIFS('04_Потребность'!$D$4:$D$103,'04_Потребность'!$A$4:$A$103,A78,'04_Потребность'!$C$4:$C$103,B78),0)</f>
        <v>0</v>
      </c>
      <c r="AI78" s="26" t="str">
        <f>IF(OR(A78="",B78=""),"",IFERROR(SUMIFS('04_Потребность'!$E$4:$E$103,'04_Потребность'!$A$4:$A$103,A78,'04_Потребность'!$C$4:$C$103,B78),0))</f>
        <v/>
      </c>
      <c r="AJ78" s="25" t="str">
        <f>IF(OR(A78="",B78=""),"",IFERROR(SUMIFS('04_Потребность'!$F$4:$F$103,'04_Потребность'!$A$4:$A$103,A78,'04_Потребность'!$C$4:$C$103,B78),0))</f>
        <v/>
      </c>
      <c r="AK78" s="29" t="str">
        <f>IF(OR(A78="",B78=""),"",IFERROR(SUMIFS('04_Потребность'!$G$4:$G$103,'04_Потребность'!$A$4:$A$103,A78,'04_Потребность'!$C$4:$C$103,B78),0))</f>
        <v/>
      </c>
      <c r="AL78" s="25" t="str">
        <f>IF('03_Настройки'!$B$7="Нет","Нет",IF(COUNTIFS('04_Потребность'!$A$4:$A$103,A78,'04_Потребность'!$C$4:$C$103,B78,'04_Потребность'!$H$4:$H$103,"Да")&gt;0,"Да","Нет"))</f>
        <v>Нет</v>
      </c>
      <c r="AM78" s="30">
        <f t="shared" si="40"/>
        <v>0</v>
      </c>
      <c r="AN78" s="30">
        <f t="shared" si="41"/>
        <v>0</v>
      </c>
      <c r="AO78" s="29">
        <f t="shared" si="42"/>
        <v>0</v>
      </c>
      <c r="AP78" s="29">
        <f t="shared" si="43"/>
        <v>0</v>
      </c>
      <c r="AQ78" s="29">
        <f t="shared" si="44"/>
        <v>0</v>
      </c>
      <c r="AR78" s="29">
        <f>IFERROR(E78*'03_Настройки'!$B$4/365*(IF(T78&gt;0,T78*V78*(1+W78)*MAX(0,N78-U78),0)+IF(X78&gt;0,X78*Z78*(1+AA78)*MAX(0,N78-Y78),0)+IF(AB78&gt;0,AB78*AD78*(1+AE78)*MAX(0,N78-AC78),0)),0)</f>
        <v>0</v>
      </c>
      <c r="AS78" s="29">
        <f t="shared" si="45"/>
        <v>0</v>
      </c>
      <c r="AT78" s="31">
        <f t="shared" si="46"/>
        <v>0</v>
      </c>
      <c r="AU78" s="31">
        <f t="shared" si="47"/>
        <v>0</v>
      </c>
      <c r="AV78" s="32">
        <f t="shared" si="48"/>
        <v>0</v>
      </c>
      <c r="AW78" s="29" t="e">
        <f t="shared" si="49"/>
        <v>#VALUE!</v>
      </c>
      <c r="AX78" s="29">
        <f t="shared" si="50"/>
        <v>0</v>
      </c>
      <c r="AY78" s="29" t="e">
        <f t="shared" si="51"/>
        <v>#VALUE!</v>
      </c>
      <c r="AZ78" s="25" t="str">
        <f>IF(AND(A78&lt;&gt;"",B78&lt;&gt;"",C78&lt;&gt;"",D78&gt;0,E78&gt;0,N78&lt;&gt;"",AH78&gt;0,O78="Да",P78="Да",BZ78="ПОЛНО",ABS(AN78-1)&lt;='03_Настройки'!$B$5,IF(T78&gt;0,AND(U78&lt;&gt;"",V78&gt;0),TRUE()),IF(X78&gt;0,AND(Y78&lt;&gt;"",Z78&gt;0),TRUE()),IF(AB78&gt;0,AND(AC78&lt;&gt;"",AD78&gt;0),TRUE()),OR(BM78="",BM78="Активна")),"Да","Нет")</f>
        <v>Нет</v>
      </c>
      <c r="BA78" s="25" t="str">
        <f t="shared" si="52"/>
        <v>Нет</v>
      </c>
      <c r="BB78" s="25" t="str">
        <f t="shared" si="53"/>
        <v/>
      </c>
      <c r="BC78" s="25" t="str">
        <f t="shared" si="54"/>
        <v/>
      </c>
      <c r="BD78" s="25" t="str">
        <f t="shared" si="55"/>
        <v/>
      </c>
      <c r="BE78" s="25" t="str">
        <f>IF(A78="","",IF(BZ78&lt;&gt;"ПОЛНО","BLOCK: неполная форма",IF(O78&lt;&gt;"Да","BLOCK: ввоз не разрешён",IF(P78&lt;&gt;"Да","BLOCK: документы не подтверждены",IF(ABS(AN78-1)&gt;'03_Настройки'!$B$5,"BLOCK: платежи не 100%",IF(AND(BM78&lt;&gt;"",BM78&lt;&gt;"Активна"),"BLOCK: позиция "&amp;BM78,IF(BA78&lt;&gt;"Да","PARTIAL: не покрывает потребность",IF(BB78="ДА","самый дешёвый"&amp;IF(BC78="ДА"," + быстрый","")&amp;IF(BD78="ДА"," + optimal",""),IF(BC78="ДА","самый быстрый"&amp;IF(BD78="ДА"," + optimal",""),IF(BD78="ДА","optimal","Допущен"))))))))))</f>
        <v/>
      </c>
      <c r="BF78" s="25">
        <f>ROW()</f>
        <v>78</v>
      </c>
      <c r="BG78" s="33"/>
      <c r="BH78" s="33"/>
      <c r="BI78" s="33"/>
      <c r="BJ78" s="33"/>
      <c r="BK78" s="33"/>
      <c r="BL78" s="34"/>
      <c r="BM78" s="33"/>
      <c r="BN78" s="35" t="str">
        <f t="shared" si="56"/>
        <v/>
      </c>
      <c r="BO78" s="36" t="str">
        <f t="shared" si="57"/>
        <v/>
      </c>
      <c r="BP78" s="33"/>
      <c r="BQ78" s="38"/>
      <c r="BR78" s="13"/>
      <c r="BS78" s="13"/>
      <c r="BT78" s="13"/>
      <c r="BU78" s="13"/>
      <c r="BV78" s="13"/>
      <c r="BW78" s="13"/>
      <c r="BX78" s="39" t="str">
        <f t="shared" si="58"/>
        <v/>
      </c>
      <c r="BY78" s="47"/>
      <c r="BZ78" s="48" t="str">
        <f t="shared" si="59"/>
        <v/>
      </c>
      <c r="CA78" s="47"/>
      <c r="CB78" s="47"/>
      <c r="CC78" s="47"/>
    </row>
    <row r="79" spans="1:81" ht="14.25" x14ac:dyDescent="0.45">
      <c r="A79" s="10"/>
      <c r="B79" s="10"/>
      <c r="C79" s="10"/>
      <c r="D79" s="10"/>
      <c r="E79" s="10"/>
      <c r="F79" s="10"/>
      <c r="G79" s="10"/>
      <c r="H79" s="25" t="str">
        <f>IFERROR(VLOOKUP(C79,'01_Поставщики'!$A$4:$M$11,2,FALSE()),"")</f>
        <v/>
      </c>
      <c r="I79" s="10"/>
      <c r="J79" s="25" t="str">
        <f>IFERROR(VLOOKUP(C79,'01_Поставщики'!$A$4:$M$11,8,FALSE()),"")</f>
        <v/>
      </c>
      <c r="K79" s="25" t="str">
        <f>IFERROR(VLOOKUP(C79,'01_Поставщики'!$A$4:$M$11,4,FALSE()),"")</f>
        <v/>
      </c>
      <c r="L79" s="25" t="str">
        <f>IFERROR(VLOOKUP(C79,'01_Поставщики'!$A$4:$M$11,10,FALSE()),"")</f>
        <v/>
      </c>
      <c r="M79" s="26" t="str">
        <f>IF(OR(A79="",B79=""),"",IFERROR(SUMIFS('04_Потребность'!$B$4:$B$103,'04_Потребность'!$A$4:$A$103,A79,'04_Потребность'!$C$4:$C$103,B79),0))</f>
        <v/>
      </c>
      <c r="N79" s="11"/>
      <c r="O79" s="10"/>
      <c r="P79" s="10"/>
      <c r="Q79" s="27"/>
      <c r="R79" s="27"/>
      <c r="S79" s="8"/>
      <c r="T79" s="8">
        <f>IFERROR(INDEX('02_Схемы оплаты'!$C$4:$C$19,MATCH($C79&amp;"|"&amp;$G79,'02_Схемы оплаты'!$H$4:$H$19,0)),0)</f>
        <v>0</v>
      </c>
      <c r="U79" s="11"/>
      <c r="V79" s="28"/>
      <c r="W79" s="8"/>
      <c r="X79" s="8">
        <f>IFERROR(INDEX('02_Схемы оплаты'!$D$4:$D$19,MATCH($C79&amp;"|"&amp;$G79,'02_Схемы оплаты'!$H$4:$H$19,0)),0)</f>
        <v>0</v>
      </c>
      <c r="Y79" s="11"/>
      <c r="Z79" s="28"/>
      <c r="AA79" s="8"/>
      <c r="AB79" s="8">
        <f>IFERROR(INDEX('02_Схемы оплаты'!$E$4:$E$19,MATCH($C79&amp;"|"&amp;$G79,'02_Схемы оплаты'!$H$4:$H$19,0)),0)</f>
        <v>0</v>
      </c>
      <c r="AC79" s="11"/>
      <c r="AD79" s="28"/>
      <c r="AE79" s="8"/>
      <c r="AF79" s="10"/>
      <c r="AG79" s="10"/>
      <c r="AH79" s="25">
        <f>IFERROR(SUMIFS('04_Потребность'!$D$4:$D$103,'04_Потребность'!$A$4:$A$103,A79,'04_Потребность'!$C$4:$C$103,B79),0)</f>
        <v>0</v>
      </c>
      <c r="AI79" s="26" t="str">
        <f>IF(OR(A79="",B79=""),"",IFERROR(SUMIFS('04_Потребность'!$E$4:$E$103,'04_Потребность'!$A$4:$A$103,A79,'04_Потребность'!$C$4:$C$103,B79),0))</f>
        <v/>
      </c>
      <c r="AJ79" s="25" t="str">
        <f>IF(OR(A79="",B79=""),"",IFERROR(SUMIFS('04_Потребность'!$F$4:$F$103,'04_Потребность'!$A$4:$A$103,A79,'04_Потребность'!$C$4:$C$103,B79),0))</f>
        <v/>
      </c>
      <c r="AK79" s="29" t="str">
        <f>IF(OR(A79="",B79=""),"",IFERROR(SUMIFS('04_Потребность'!$G$4:$G$103,'04_Потребность'!$A$4:$A$103,A79,'04_Потребность'!$C$4:$C$103,B79),0))</f>
        <v/>
      </c>
      <c r="AL79" s="25" t="str">
        <f>IF('03_Настройки'!$B$7="Нет","Нет",IF(COUNTIFS('04_Потребность'!$A$4:$A$103,A79,'04_Потребность'!$C$4:$C$103,B79,'04_Потребность'!$H$4:$H$103,"Да")&gt;0,"Да","Нет"))</f>
        <v>Нет</v>
      </c>
      <c r="AM79" s="30">
        <f t="shared" si="40"/>
        <v>0</v>
      </c>
      <c r="AN79" s="30">
        <f t="shared" si="41"/>
        <v>0</v>
      </c>
      <c r="AO79" s="29">
        <f t="shared" si="42"/>
        <v>0</v>
      </c>
      <c r="AP79" s="29">
        <f t="shared" si="43"/>
        <v>0</v>
      </c>
      <c r="AQ79" s="29">
        <f t="shared" si="44"/>
        <v>0</v>
      </c>
      <c r="AR79" s="29">
        <f>IFERROR(E79*'03_Настройки'!$B$4/365*(IF(T79&gt;0,T79*V79*(1+W79)*MAX(0,N79-U79),0)+IF(X79&gt;0,X79*Z79*(1+AA79)*MAX(0,N79-Y79),0)+IF(AB79&gt;0,AB79*AD79*(1+AE79)*MAX(0,N79-AC79),0)),0)</f>
        <v>0</v>
      </c>
      <c r="AS79" s="29">
        <f t="shared" si="45"/>
        <v>0</v>
      </c>
      <c r="AT79" s="31">
        <f t="shared" si="46"/>
        <v>0</v>
      </c>
      <c r="AU79" s="31">
        <f t="shared" si="47"/>
        <v>0</v>
      </c>
      <c r="AV79" s="32">
        <f t="shared" si="48"/>
        <v>0</v>
      </c>
      <c r="AW79" s="29" t="e">
        <f t="shared" si="49"/>
        <v>#VALUE!</v>
      </c>
      <c r="AX79" s="29">
        <f t="shared" si="50"/>
        <v>0</v>
      </c>
      <c r="AY79" s="29" t="e">
        <f t="shared" si="51"/>
        <v>#VALUE!</v>
      </c>
      <c r="AZ79" s="25" t="str">
        <f>IF(AND(A79&lt;&gt;"",B79&lt;&gt;"",C79&lt;&gt;"",D79&gt;0,E79&gt;0,N79&lt;&gt;"",AH79&gt;0,O79="Да",P79="Да",BZ79="ПОЛНО",ABS(AN79-1)&lt;='03_Настройки'!$B$5,IF(T79&gt;0,AND(U79&lt;&gt;"",V79&gt;0),TRUE()),IF(X79&gt;0,AND(Y79&lt;&gt;"",Z79&gt;0),TRUE()),IF(AB79&gt;0,AND(AC79&lt;&gt;"",AD79&gt;0),TRUE()),OR(BM79="",BM79="Активна")),"Да","Нет")</f>
        <v>Нет</v>
      </c>
      <c r="BA79" s="25" t="str">
        <f t="shared" si="52"/>
        <v>Нет</v>
      </c>
      <c r="BB79" s="25" t="str">
        <f t="shared" si="53"/>
        <v/>
      </c>
      <c r="BC79" s="25" t="str">
        <f t="shared" si="54"/>
        <v/>
      </c>
      <c r="BD79" s="25" t="str">
        <f t="shared" si="55"/>
        <v/>
      </c>
      <c r="BE79" s="25" t="str">
        <f>IF(A79="","",IF(BZ79&lt;&gt;"ПОЛНО","BLOCK: неполная форма",IF(O79&lt;&gt;"Да","BLOCK: ввоз не разрешён",IF(P79&lt;&gt;"Да","BLOCK: документы не подтверждены",IF(ABS(AN79-1)&gt;'03_Настройки'!$B$5,"BLOCK: платежи не 100%",IF(AND(BM79&lt;&gt;"",BM79&lt;&gt;"Активна"),"BLOCK: позиция "&amp;BM79,IF(BA79&lt;&gt;"Да","PARTIAL: не покрывает потребность",IF(BB79="ДА","самый дешёвый"&amp;IF(BC79="ДА"," + быстрый","")&amp;IF(BD79="ДА"," + optimal",""),IF(BC79="ДА","самый быстрый"&amp;IF(BD79="ДА"," + optimal",""),IF(BD79="ДА","optimal","Допущен"))))))))))</f>
        <v/>
      </c>
      <c r="BF79" s="25">
        <f>ROW()</f>
        <v>79</v>
      </c>
      <c r="BG79" s="33"/>
      <c r="BH79" s="33"/>
      <c r="BI79" s="33"/>
      <c r="BJ79" s="33"/>
      <c r="BK79" s="33"/>
      <c r="BL79" s="34"/>
      <c r="BM79" s="33"/>
      <c r="BN79" s="35" t="str">
        <f t="shared" si="56"/>
        <v/>
      </c>
      <c r="BO79" s="36" t="str">
        <f t="shared" si="57"/>
        <v/>
      </c>
      <c r="BP79" s="33"/>
      <c r="BQ79" s="38"/>
      <c r="BR79" s="13"/>
      <c r="BS79" s="13"/>
      <c r="BT79" s="13"/>
      <c r="BU79" s="13"/>
      <c r="BV79" s="13"/>
      <c r="BW79" s="13"/>
      <c r="BX79" s="39" t="str">
        <f t="shared" si="58"/>
        <v/>
      </c>
      <c r="BY79" s="47"/>
      <c r="BZ79" s="48" t="str">
        <f t="shared" si="59"/>
        <v/>
      </c>
      <c r="CA79" s="47"/>
      <c r="CB79" s="47"/>
      <c r="CC79" s="47"/>
    </row>
    <row r="80" spans="1:81" ht="14.25" x14ac:dyDescent="0.45">
      <c r="A80" s="10"/>
      <c r="B80" s="10"/>
      <c r="C80" s="10"/>
      <c r="D80" s="10"/>
      <c r="E80" s="10"/>
      <c r="F80" s="10"/>
      <c r="G80" s="10"/>
      <c r="H80" s="25" t="str">
        <f>IFERROR(VLOOKUP(C80,'01_Поставщики'!$A$4:$M$11,2,FALSE()),"")</f>
        <v/>
      </c>
      <c r="I80" s="10"/>
      <c r="J80" s="25" t="str">
        <f>IFERROR(VLOOKUP(C80,'01_Поставщики'!$A$4:$M$11,8,FALSE()),"")</f>
        <v/>
      </c>
      <c r="K80" s="25" t="str">
        <f>IFERROR(VLOOKUP(C80,'01_Поставщики'!$A$4:$M$11,4,FALSE()),"")</f>
        <v/>
      </c>
      <c r="L80" s="25" t="str">
        <f>IFERROR(VLOOKUP(C80,'01_Поставщики'!$A$4:$M$11,10,FALSE()),"")</f>
        <v/>
      </c>
      <c r="M80" s="26" t="str">
        <f>IF(OR(A80="",B80=""),"",IFERROR(SUMIFS('04_Потребность'!$B$4:$B$103,'04_Потребность'!$A$4:$A$103,A80,'04_Потребность'!$C$4:$C$103,B80),0))</f>
        <v/>
      </c>
      <c r="N80" s="11"/>
      <c r="O80" s="10"/>
      <c r="P80" s="10"/>
      <c r="Q80" s="27"/>
      <c r="R80" s="27"/>
      <c r="S80" s="8"/>
      <c r="T80" s="8">
        <f>IFERROR(INDEX('02_Схемы оплаты'!$C$4:$C$19,MATCH($C80&amp;"|"&amp;$G80,'02_Схемы оплаты'!$H$4:$H$19,0)),0)</f>
        <v>0</v>
      </c>
      <c r="U80" s="11"/>
      <c r="V80" s="28"/>
      <c r="W80" s="8"/>
      <c r="X80" s="8">
        <f>IFERROR(INDEX('02_Схемы оплаты'!$D$4:$D$19,MATCH($C80&amp;"|"&amp;$G80,'02_Схемы оплаты'!$H$4:$H$19,0)),0)</f>
        <v>0</v>
      </c>
      <c r="Y80" s="11"/>
      <c r="Z80" s="28"/>
      <c r="AA80" s="8"/>
      <c r="AB80" s="8">
        <f>IFERROR(INDEX('02_Схемы оплаты'!$E$4:$E$19,MATCH($C80&amp;"|"&amp;$G80,'02_Схемы оплаты'!$H$4:$H$19,0)),0)</f>
        <v>0</v>
      </c>
      <c r="AC80" s="11"/>
      <c r="AD80" s="28"/>
      <c r="AE80" s="8"/>
      <c r="AF80" s="10"/>
      <c r="AG80" s="10"/>
      <c r="AH80" s="25">
        <f>IFERROR(SUMIFS('04_Потребность'!$D$4:$D$103,'04_Потребность'!$A$4:$A$103,A80,'04_Потребность'!$C$4:$C$103,B80),0)</f>
        <v>0</v>
      </c>
      <c r="AI80" s="26" t="str">
        <f>IF(OR(A80="",B80=""),"",IFERROR(SUMIFS('04_Потребность'!$E$4:$E$103,'04_Потребность'!$A$4:$A$103,A80,'04_Потребность'!$C$4:$C$103,B80),0))</f>
        <v/>
      </c>
      <c r="AJ80" s="25" t="str">
        <f>IF(OR(A80="",B80=""),"",IFERROR(SUMIFS('04_Потребность'!$F$4:$F$103,'04_Потребность'!$A$4:$A$103,A80,'04_Потребность'!$C$4:$C$103,B80),0))</f>
        <v/>
      </c>
      <c r="AK80" s="29" t="str">
        <f>IF(OR(A80="",B80=""),"",IFERROR(SUMIFS('04_Потребность'!$G$4:$G$103,'04_Потребность'!$A$4:$A$103,A80,'04_Потребность'!$C$4:$C$103,B80),0))</f>
        <v/>
      </c>
      <c r="AL80" s="25" t="str">
        <f>IF('03_Настройки'!$B$7="Нет","Нет",IF(COUNTIFS('04_Потребность'!$A$4:$A$103,A80,'04_Потребность'!$C$4:$C$103,B80,'04_Потребность'!$H$4:$H$103,"Да")&gt;0,"Да","Нет"))</f>
        <v>Нет</v>
      </c>
      <c r="AM80" s="30">
        <f t="shared" si="40"/>
        <v>0</v>
      </c>
      <c r="AN80" s="30">
        <f t="shared" si="41"/>
        <v>0</v>
      </c>
      <c r="AO80" s="29">
        <f t="shared" si="42"/>
        <v>0</v>
      </c>
      <c r="AP80" s="29">
        <f t="shared" si="43"/>
        <v>0</v>
      </c>
      <c r="AQ80" s="29">
        <f t="shared" si="44"/>
        <v>0</v>
      </c>
      <c r="AR80" s="29">
        <f>IFERROR(E80*'03_Настройки'!$B$4/365*(IF(T80&gt;0,T80*V80*(1+W80)*MAX(0,N80-U80),0)+IF(X80&gt;0,X80*Z80*(1+AA80)*MAX(0,N80-Y80),0)+IF(AB80&gt;0,AB80*AD80*(1+AE80)*MAX(0,N80-AC80),0)),0)</f>
        <v>0</v>
      </c>
      <c r="AS80" s="29">
        <f t="shared" si="45"/>
        <v>0</v>
      </c>
      <c r="AT80" s="31">
        <f t="shared" si="46"/>
        <v>0</v>
      </c>
      <c r="AU80" s="31">
        <f t="shared" si="47"/>
        <v>0</v>
      </c>
      <c r="AV80" s="32">
        <f t="shared" si="48"/>
        <v>0</v>
      </c>
      <c r="AW80" s="29" t="e">
        <f t="shared" si="49"/>
        <v>#VALUE!</v>
      </c>
      <c r="AX80" s="29">
        <f t="shared" si="50"/>
        <v>0</v>
      </c>
      <c r="AY80" s="29" t="e">
        <f t="shared" si="51"/>
        <v>#VALUE!</v>
      </c>
      <c r="AZ80" s="25" t="str">
        <f>IF(AND(A80&lt;&gt;"",B80&lt;&gt;"",C80&lt;&gt;"",D80&gt;0,E80&gt;0,N80&lt;&gt;"",AH80&gt;0,O80="Да",P80="Да",BZ80="ПОЛНО",ABS(AN80-1)&lt;='03_Настройки'!$B$5,IF(T80&gt;0,AND(U80&lt;&gt;"",V80&gt;0),TRUE()),IF(X80&gt;0,AND(Y80&lt;&gt;"",Z80&gt;0),TRUE()),IF(AB80&gt;0,AND(AC80&lt;&gt;"",AD80&gt;0),TRUE()),OR(BM80="",BM80="Активна")),"Да","Нет")</f>
        <v>Нет</v>
      </c>
      <c r="BA80" s="25" t="str">
        <f t="shared" si="52"/>
        <v>Нет</v>
      </c>
      <c r="BB80" s="25" t="str">
        <f t="shared" si="53"/>
        <v/>
      </c>
      <c r="BC80" s="25" t="str">
        <f t="shared" si="54"/>
        <v/>
      </c>
      <c r="BD80" s="25" t="str">
        <f t="shared" si="55"/>
        <v/>
      </c>
      <c r="BE80" s="25" t="str">
        <f>IF(A80="","",IF(BZ80&lt;&gt;"ПОЛНО","BLOCK: неполная форма",IF(O80&lt;&gt;"Да","BLOCK: ввоз не разрешён",IF(P80&lt;&gt;"Да","BLOCK: документы не подтверждены",IF(ABS(AN80-1)&gt;'03_Настройки'!$B$5,"BLOCK: платежи не 100%",IF(AND(BM80&lt;&gt;"",BM80&lt;&gt;"Активна"),"BLOCK: позиция "&amp;BM80,IF(BA80&lt;&gt;"Да","PARTIAL: не покрывает потребность",IF(BB80="ДА","самый дешёвый"&amp;IF(BC80="ДА"," + быстрый","")&amp;IF(BD80="ДА"," + optimal",""),IF(BC80="ДА","самый быстрый"&amp;IF(BD80="ДА"," + optimal",""),IF(BD80="ДА","optimal","Допущен"))))))))))</f>
        <v/>
      </c>
      <c r="BF80" s="25">
        <f>ROW()</f>
        <v>80</v>
      </c>
      <c r="BG80" s="33"/>
      <c r="BH80" s="33"/>
      <c r="BI80" s="33"/>
      <c r="BJ80" s="33"/>
      <c r="BK80" s="33"/>
      <c r="BL80" s="34"/>
      <c r="BM80" s="33"/>
      <c r="BN80" s="35" t="str">
        <f t="shared" si="56"/>
        <v/>
      </c>
      <c r="BO80" s="36" t="str">
        <f t="shared" si="57"/>
        <v/>
      </c>
      <c r="BP80" s="33"/>
      <c r="BQ80" s="38"/>
      <c r="BR80" s="13"/>
      <c r="BS80" s="13"/>
      <c r="BT80" s="13"/>
      <c r="BU80" s="13"/>
      <c r="BV80" s="13"/>
      <c r="BW80" s="13"/>
      <c r="BX80" s="39" t="str">
        <f t="shared" si="58"/>
        <v/>
      </c>
      <c r="BY80" s="47"/>
      <c r="BZ80" s="48" t="str">
        <f t="shared" si="59"/>
        <v/>
      </c>
      <c r="CA80" s="47"/>
      <c r="CB80" s="47"/>
      <c r="CC80" s="47"/>
    </row>
    <row r="81" spans="1:81" ht="14.25" x14ac:dyDescent="0.45">
      <c r="A81" s="10"/>
      <c r="B81" s="10"/>
      <c r="C81" s="10"/>
      <c r="D81" s="10"/>
      <c r="E81" s="10"/>
      <c r="F81" s="10"/>
      <c r="G81" s="10"/>
      <c r="H81" s="25" t="str">
        <f>IFERROR(VLOOKUP(C81,'01_Поставщики'!$A$4:$M$11,2,FALSE()),"")</f>
        <v/>
      </c>
      <c r="I81" s="10"/>
      <c r="J81" s="25" t="str">
        <f>IFERROR(VLOOKUP(C81,'01_Поставщики'!$A$4:$M$11,8,FALSE()),"")</f>
        <v/>
      </c>
      <c r="K81" s="25" t="str">
        <f>IFERROR(VLOOKUP(C81,'01_Поставщики'!$A$4:$M$11,4,FALSE()),"")</f>
        <v/>
      </c>
      <c r="L81" s="25" t="str">
        <f>IFERROR(VLOOKUP(C81,'01_Поставщики'!$A$4:$M$11,10,FALSE()),"")</f>
        <v/>
      </c>
      <c r="M81" s="26" t="str">
        <f>IF(OR(A81="",B81=""),"",IFERROR(SUMIFS('04_Потребность'!$B$4:$B$103,'04_Потребность'!$A$4:$A$103,A81,'04_Потребность'!$C$4:$C$103,B81),0))</f>
        <v/>
      </c>
      <c r="N81" s="11"/>
      <c r="O81" s="10"/>
      <c r="P81" s="10"/>
      <c r="Q81" s="27"/>
      <c r="R81" s="27"/>
      <c r="S81" s="8"/>
      <c r="T81" s="8">
        <f>IFERROR(INDEX('02_Схемы оплаты'!$C$4:$C$19,MATCH($C81&amp;"|"&amp;$G81,'02_Схемы оплаты'!$H$4:$H$19,0)),0)</f>
        <v>0</v>
      </c>
      <c r="U81" s="11"/>
      <c r="V81" s="28"/>
      <c r="W81" s="8"/>
      <c r="X81" s="8">
        <f>IFERROR(INDEX('02_Схемы оплаты'!$D$4:$D$19,MATCH($C81&amp;"|"&amp;$G81,'02_Схемы оплаты'!$H$4:$H$19,0)),0)</f>
        <v>0</v>
      </c>
      <c r="Y81" s="11"/>
      <c r="Z81" s="28"/>
      <c r="AA81" s="8"/>
      <c r="AB81" s="8">
        <f>IFERROR(INDEX('02_Схемы оплаты'!$E$4:$E$19,MATCH($C81&amp;"|"&amp;$G81,'02_Схемы оплаты'!$H$4:$H$19,0)),0)</f>
        <v>0</v>
      </c>
      <c r="AC81" s="11"/>
      <c r="AD81" s="28"/>
      <c r="AE81" s="8"/>
      <c r="AF81" s="10"/>
      <c r="AG81" s="10"/>
      <c r="AH81" s="25">
        <f>IFERROR(SUMIFS('04_Потребность'!$D$4:$D$103,'04_Потребность'!$A$4:$A$103,A81,'04_Потребность'!$C$4:$C$103,B81),0)</f>
        <v>0</v>
      </c>
      <c r="AI81" s="26" t="str">
        <f>IF(OR(A81="",B81=""),"",IFERROR(SUMIFS('04_Потребность'!$E$4:$E$103,'04_Потребность'!$A$4:$A$103,A81,'04_Потребность'!$C$4:$C$103,B81),0))</f>
        <v/>
      </c>
      <c r="AJ81" s="25" t="str">
        <f>IF(OR(A81="",B81=""),"",IFERROR(SUMIFS('04_Потребность'!$F$4:$F$103,'04_Потребность'!$A$4:$A$103,A81,'04_Потребность'!$C$4:$C$103,B81),0))</f>
        <v/>
      </c>
      <c r="AK81" s="29" t="str">
        <f>IF(OR(A81="",B81=""),"",IFERROR(SUMIFS('04_Потребность'!$G$4:$G$103,'04_Потребность'!$A$4:$A$103,A81,'04_Потребность'!$C$4:$C$103,B81),0))</f>
        <v/>
      </c>
      <c r="AL81" s="25" t="str">
        <f>IF('03_Настройки'!$B$7="Нет","Нет",IF(COUNTIFS('04_Потребность'!$A$4:$A$103,A81,'04_Потребность'!$C$4:$C$103,B81,'04_Потребность'!$H$4:$H$103,"Да")&gt;0,"Да","Нет"))</f>
        <v>Нет</v>
      </c>
      <c r="AM81" s="30">
        <f t="shared" si="40"/>
        <v>0</v>
      </c>
      <c r="AN81" s="30">
        <f t="shared" si="41"/>
        <v>0</v>
      </c>
      <c r="AO81" s="29">
        <f t="shared" si="42"/>
        <v>0</v>
      </c>
      <c r="AP81" s="29">
        <f t="shared" si="43"/>
        <v>0</v>
      </c>
      <c r="AQ81" s="29">
        <f t="shared" si="44"/>
        <v>0</v>
      </c>
      <c r="AR81" s="29">
        <f>IFERROR(E81*'03_Настройки'!$B$4/365*(IF(T81&gt;0,T81*V81*(1+W81)*MAX(0,N81-U81),0)+IF(X81&gt;0,X81*Z81*(1+AA81)*MAX(0,N81-Y81),0)+IF(AB81&gt;0,AB81*AD81*(1+AE81)*MAX(0,N81-AC81),0)),0)</f>
        <v>0</v>
      </c>
      <c r="AS81" s="29">
        <f t="shared" si="45"/>
        <v>0</v>
      </c>
      <c r="AT81" s="31">
        <f t="shared" si="46"/>
        <v>0</v>
      </c>
      <c r="AU81" s="31">
        <f t="shared" si="47"/>
        <v>0</v>
      </c>
      <c r="AV81" s="32">
        <f t="shared" si="48"/>
        <v>0</v>
      </c>
      <c r="AW81" s="29" t="e">
        <f t="shared" si="49"/>
        <v>#VALUE!</v>
      </c>
      <c r="AX81" s="29">
        <f t="shared" si="50"/>
        <v>0</v>
      </c>
      <c r="AY81" s="29" t="e">
        <f t="shared" si="51"/>
        <v>#VALUE!</v>
      </c>
      <c r="AZ81" s="25" t="str">
        <f>IF(AND(A81&lt;&gt;"",B81&lt;&gt;"",C81&lt;&gt;"",D81&gt;0,E81&gt;0,N81&lt;&gt;"",AH81&gt;0,O81="Да",P81="Да",BZ81="ПОЛНО",ABS(AN81-1)&lt;='03_Настройки'!$B$5,IF(T81&gt;0,AND(U81&lt;&gt;"",V81&gt;0),TRUE()),IF(X81&gt;0,AND(Y81&lt;&gt;"",Z81&gt;0),TRUE()),IF(AB81&gt;0,AND(AC81&lt;&gt;"",AD81&gt;0),TRUE()),OR(BM81="",BM81="Активна")),"Да","Нет")</f>
        <v>Нет</v>
      </c>
      <c r="BA81" s="25" t="str">
        <f t="shared" si="52"/>
        <v>Нет</v>
      </c>
      <c r="BB81" s="25" t="str">
        <f t="shared" si="53"/>
        <v/>
      </c>
      <c r="BC81" s="25" t="str">
        <f t="shared" si="54"/>
        <v/>
      </c>
      <c r="BD81" s="25" t="str">
        <f t="shared" si="55"/>
        <v/>
      </c>
      <c r="BE81" s="25" t="str">
        <f>IF(A81="","",IF(BZ81&lt;&gt;"ПОЛНО","BLOCK: неполная форма",IF(O81&lt;&gt;"Да","BLOCK: ввоз не разрешён",IF(P81&lt;&gt;"Да","BLOCK: документы не подтверждены",IF(ABS(AN81-1)&gt;'03_Настройки'!$B$5,"BLOCK: платежи не 100%",IF(AND(BM81&lt;&gt;"",BM81&lt;&gt;"Активна"),"BLOCK: позиция "&amp;BM81,IF(BA81&lt;&gt;"Да","PARTIAL: не покрывает потребность",IF(BB81="ДА","самый дешёвый"&amp;IF(BC81="ДА"," + быстрый","")&amp;IF(BD81="ДА"," + optimal",""),IF(BC81="ДА","самый быстрый"&amp;IF(BD81="ДА"," + optimal",""),IF(BD81="ДА","optimal","Допущен"))))))))))</f>
        <v/>
      </c>
      <c r="BF81" s="25">
        <f>ROW()</f>
        <v>81</v>
      </c>
      <c r="BG81" s="33"/>
      <c r="BH81" s="33"/>
      <c r="BI81" s="33"/>
      <c r="BJ81" s="33"/>
      <c r="BK81" s="33"/>
      <c r="BL81" s="34"/>
      <c r="BM81" s="33"/>
      <c r="BN81" s="35" t="str">
        <f t="shared" si="56"/>
        <v/>
      </c>
      <c r="BO81" s="36" t="str">
        <f t="shared" si="57"/>
        <v/>
      </c>
      <c r="BP81" s="33"/>
      <c r="BQ81" s="38"/>
      <c r="BR81" s="13"/>
      <c r="BS81" s="13"/>
      <c r="BT81" s="13"/>
      <c r="BU81" s="13"/>
      <c r="BV81" s="13"/>
      <c r="BW81" s="13"/>
      <c r="BX81" s="39" t="str">
        <f t="shared" si="58"/>
        <v/>
      </c>
      <c r="BY81" s="47"/>
      <c r="BZ81" s="48" t="str">
        <f t="shared" si="59"/>
        <v/>
      </c>
      <c r="CA81" s="47"/>
      <c r="CB81" s="47"/>
      <c r="CC81" s="47"/>
    </row>
    <row r="82" spans="1:81" ht="14.25" x14ac:dyDescent="0.45">
      <c r="A82" s="10"/>
      <c r="B82" s="10"/>
      <c r="C82" s="10"/>
      <c r="D82" s="10"/>
      <c r="E82" s="10"/>
      <c r="F82" s="10"/>
      <c r="G82" s="10"/>
      <c r="H82" s="25" t="str">
        <f>IFERROR(VLOOKUP(C82,'01_Поставщики'!$A$4:$M$11,2,FALSE()),"")</f>
        <v/>
      </c>
      <c r="I82" s="10"/>
      <c r="J82" s="25" t="str">
        <f>IFERROR(VLOOKUP(C82,'01_Поставщики'!$A$4:$M$11,8,FALSE()),"")</f>
        <v/>
      </c>
      <c r="K82" s="25" t="str">
        <f>IFERROR(VLOOKUP(C82,'01_Поставщики'!$A$4:$M$11,4,FALSE()),"")</f>
        <v/>
      </c>
      <c r="L82" s="25" t="str">
        <f>IFERROR(VLOOKUP(C82,'01_Поставщики'!$A$4:$M$11,10,FALSE()),"")</f>
        <v/>
      </c>
      <c r="M82" s="26" t="str">
        <f>IF(OR(A82="",B82=""),"",IFERROR(SUMIFS('04_Потребность'!$B$4:$B$103,'04_Потребность'!$A$4:$A$103,A82,'04_Потребность'!$C$4:$C$103,B82),0))</f>
        <v/>
      </c>
      <c r="N82" s="11"/>
      <c r="O82" s="10"/>
      <c r="P82" s="10"/>
      <c r="Q82" s="27"/>
      <c r="R82" s="27"/>
      <c r="S82" s="8"/>
      <c r="T82" s="8">
        <f>IFERROR(INDEX('02_Схемы оплаты'!$C$4:$C$19,MATCH($C82&amp;"|"&amp;$G82,'02_Схемы оплаты'!$H$4:$H$19,0)),0)</f>
        <v>0</v>
      </c>
      <c r="U82" s="11"/>
      <c r="V82" s="28"/>
      <c r="W82" s="8"/>
      <c r="X82" s="8">
        <f>IFERROR(INDEX('02_Схемы оплаты'!$D$4:$D$19,MATCH($C82&amp;"|"&amp;$G82,'02_Схемы оплаты'!$H$4:$H$19,0)),0)</f>
        <v>0</v>
      </c>
      <c r="Y82" s="11"/>
      <c r="Z82" s="28"/>
      <c r="AA82" s="8"/>
      <c r="AB82" s="8">
        <f>IFERROR(INDEX('02_Схемы оплаты'!$E$4:$E$19,MATCH($C82&amp;"|"&amp;$G82,'02_Схемы оплаты'!$H$4:$H$19,0)),0)</f>
        <v>0</v>
      </c>
      <c r="AC82" s="11"/>
      <c r="AD82" s="28"/>
      <c r="AE82" s="8"/>
      <c r="AF82" s="10"/>
      <c r="AG82" s="10"/>
      <c r="AH82" s="25">
        <f>IFERROR(SUMIFS('04_Потребность'!$D$4:$D$103,'04_Потребность'!$A$4:$A$103,A82,'04_Потребность'!$C$4:$C$103,B82),0)</f>
        <v>0</v>
      </c>
      <c r="AI82" s="26" t="str">
        <f>IF(OR(A82="",B82=""),"",IFERROR(SUMIFS('04_Потребность'!$E$4:$E$103,'04_Потребность'!$A$4:$A$103,A82,'04_Потребность'!$C$4:$C$103,B82),0))</f>
        <v/>
      </c>
      <c r="AJ82" s="25" t="str">
        <f>IF(OR(A82="",B82=""),"",IFERROR(SUMIFS('04_Потребность'!$F$4:$F$103,'04_Потребность'!$A$4:$A$103,A82,'04_Потребность'!$C$4:$C$103,B82),0))</f>
        <v/>
      </c>
      <c r="AK82" s="29" t="str">
        <f>IF(OR(A82="",B82=""),"",IFERROR(SUMIFS('04_Потребность'!$G$4:$G$103,'04_Потребность'!$A$4:$A$103,A82,'04_Потребность'!$C$4:$C$103,B82),0))</f>
        <v/>
      </c>
      <c r="AL82" s="25" t="str">
        <f>IF('03_Настройки'!$B$7="Нет","Нет",IF(COUNTIFS('04_Потребность'!$A$4:$A$103,A82,'04_Потребность'!$C$4:$C$103,B82,'04_Потребность'!$H$4:$H$103,"Да")&gt;0,"Да","Нет"))</f>
        <v>Нет</v>
      </c>
      <c r="AM82" s="30">
        <f t="shared" si="40"/>
        <v>0</v>
      </c>
      <c r="AN82" s="30">
        <f t="shared" si="41"/>
        <v>0</v>
      </c>
      <c r="AO82" s="29">
        <f t="shared" si="42"/>
        <v>0</v>
      </c>
      <c r="AP82" s="29">
        <f t="shared" si="43"/>
        <v>0</v>
      </c>
      <c r="AQ82" s="29">
        <f t="shared" si="44"/>
        <v>0</v>
      </c>
      <c r="AR82" s="29">
        <f>IFERROR(E82*'03_Настройки'!$B$4/365*(IF(T82&gt;0,T82*V82*(1+W82)*MAX(0,N82-U82),0)+IF(X82&gt;0,X82*Z82*(1+AA82)*MAX(0,N82-Y82),0)+IF(AB82&gt;0,AB82*AD82*(1+AE82)*MAX(0,N82-AC82),0)),0)</f>
        <v>0</v>
      </c>
      <c r="AS82" s="29">
        <f t="shared" si="45"/>
        <v>0</v>
      </c>
      <c r="AT82" s="31">
        <f t="shared" si="46"/>
        <v>0</v>
      </c>
      <c r="AU82" s="31">
        <f t="shared" si="47"/>
        <v>0</v>
      </c>
      <c r="AV82" s="32">
        <f t="shared" si="48"/>
        <v>0</v>
      </c>
      <c r="AW82" s="29" t="e">
        <f t="shared" si="49"/>
        <v>#VALUE!</v>
      </c>
      <c r="AX82" s="29">
        <f t="shared" si="50"/>
        <v>0</v>
      </c>
      <c r="AY82" s="29" t="e">
        <f t="shared" si="51"/>
        <v>#VALUE!</v>
      </c>
      <c r="AZ82" s="25" t="str">
        <f>IF(AND(A82&lt;&gt;"",B82&lt;&gt;"",C82&lt;&gt;"",D82&gt;0,E82&gt;0,N82&lt;&gt;"",AH82&gt;0,O82="Да",P82="Да",BZ82="ПОЛНО",ABS(AN82-1)&lt;='03_Настройки'!$B$5,IF(T82&gt;0,AND(U82&lt;&gt;"",V82&gt;0),TRUE()),IF(X82&gt;0,AND(Y82&lt;&gt;"",Z82&gt;0),TRUE()),IF(AB82&gt;0,AND(AC82&lt;&gt;"",AD82&gt;0),TRUE()),OR(BM82="",BM82="Активна")),"Да","Нет")</f>
        <v>Нет</v>
      </c>
      <c r="BA82" s="25" t="str">
        <f t="shared" si="52"/>
        <v>Нет</v>
      </c>
      <c r="BB82" s="25" t="str">
        <f t="shared" si="53"/>
        <v/>
      </c>
      <c r="BC82" s="25" t="str">
        <f t="shared" si="54"/>
        <v/>
      </c>
      <c r="BD82" s="25" t="str">
        <f t="shared" si="55"/>
        <v/>
      </c>
      <c r="BE82" s="25" t="str">
        <f>IF(A82="","",IF(BZ82&lt;&gt;"ПОЛНО","BLOCK: неполная форма",IF(O82&lt;&gt;"Да","BLOCK: ввоз не разрешён",IF(P82&lt;&gt;"Да","BLOCK: документы не подтверждены",IF(ABS(AN82-1)&gt;'03_Настройки'!$B$5,"BLOCK: платежи не 100%",IF(AND(BM82&lt;&gt;"",BM82&lt;&gt;"Активна"),"BLOCK: позиция "&amp;BM82,IF(BA82&lt;&gt;"Да","PARTIAL: не покрывает потребность",IF(BB82="ДА","самый дешёвый"&amp;IF(BC82="ДА"," + быстрый","")&amp;IF(BD82="ДА"," + optimal",""),IF(BC82="ДА","самый быстрый"&amp;IF(BD82="ДА"," + optimal",""),IF(BD82="ДА","optimal","Допущен"))))))))))</f>
        <v/>
      </c>
      <c r="BF82" s="25">
        <f>ROW()</f>
        <v>82</v>
      </c>
      <c r="BG82" s="33"/>
      <c r="BH82" s="33"/>
      <c r="BI82" s="33"/>
      <c r="BJ82" s="33"/>
      <c r="BK82" s="33"/>
      <c r="BL82" s="34"/>
      <c r="BM82" s="33"/>
      <c r="BN82" s="35" t="str">
        <f t="shared" si="56"/>
        <v/>
      </c>
      <c r="BO82" s="36" t="str">
        <f t="shared" si="57"/>
        <v/>
      </c>
      <c r="BP82" s="33"/>
      <c r="BQ82" s="38"/>
      <c r="BR82" s="13"/>
      <c r="BS82" s="13"/>
      <c r="BT82" s="13"/>
      <c r="BU82" s="13"/>
      <c r="BV82" s="13"/>
      <c r="BW82" s="13"/>
      <c r="BX82" s="39" t="str">
        <f t="shared" si="58"/>
        <v/>
      </c>
      <c r="BY82" s="47"/>
      <c r="BZ82" s="48" t="str">
        <f t="shared" si="59"/>
        <v/>
      </c>
      <c r="CA82" s="47"/>
      <c r="CB82" s="47"/>
      <c r="CC82" s="47"/>
    </row>
    <row r="83" spans="1:81" ht="14.25" x14ac:dyDescent="0.45">
      <c r="A83" s="10"/>
      <c r="B83" s="10"/>
      <c r="C83" s="10"/>
      <c r="D83" s="10"/>
      <c r="E83" s="10"/>
      <c r="F83" s="10"/>
      <c r="G83" s="10"/>
      <c r="H83" s="25" t="str">
        <f>IFERROR(VLOOKUP(C83,'01_Поставщики'!$A$4:$M$11,2,FALSE()),"")</f>
        <v/>
      </c>
      <c r="I83" s="10"/>
      <c r="J83" s="25" t="str">
        <f>IFERROR(VLOOKUP(C83,'01_Поставщики'!$A$4:$M$11,8,FALSE()),"")</f>
        <v/>
      </c>
      <c r="K83" s="25" t="str">
        <f>IFERROR(VLOOKUP(C83,'01_Поставщики'!$A$4:$M$11,4,FALSE()),"")</f>
        <v/>
      </c>
      <c r="L83" s="25" t="str">
        <f>IFERROR(VLOOKUP(C83,'01_Поставщики'!$A$4:$M$11,10,FALSE()),"")</f>
        <v/>
      </c>
      <c r="M83" s="26" t="str">
        <f>IF(OR(A83="",B83=""),"",IFERROR(SUMIFS('04_Потребность'!$B$4:$B$103,'04_Потребность'!$A$4:$A$103,A83,'04_Потребность'!$C$4:$C$103,B83),0))</f>
        <v/>
      </c>
      <c r="N83" s="11"/>
      <c r="O83" s="10"/>
      <c r="P83" s="10"/>
      <c r="Q83" s="27"/>
      <c r="R83" s="27"/>
      <c r="S83" s="8"/>
      <c r="T83" s="8">
        <f>IFERROR(INDEX('02_Схемы оплаты'!$C$4:$C$19,MATCH($C83&amp;"|"&amp;$G83,'02_Схемы оплаты'!$H$4:$H$19,0)),0)</f>
        <v>0</v>
      </c>
      <c r="U83" s="11"/>
      <c r="V83" s="28"/>
      <c r="W83" s="8"/>
      <c r="X83" s="8">
        <f>IFERROR(INDEX('02_Схемы оплаты'!$D$4:$D$19,MATCH($C83&amp;"|"&amp;$G83,'02_Схемы оплаты'!$H$4:$H$19,0)),0)</f>
        <v>0</v>
      </c>
      <c r="Y83" s="11"/>
      <c r="Z83" s="28"/>
      <c r="AA83" s="8"/>
      <c r="AB83" s="8">
        <f>IFERROR(INDEX('02_Схемы оплаты'!$E$4:$E$19,MATCH($C83&amp;"|"&amp;$G83,'02_Схемы оплаты'!$H$4:$H$19,0)),0)</f>
        <v>0</v>
      </c>
      <c r="AC83" s="11"/>
      <c r="AD83" s="28"/>
      <c r="AE83" s="8"/>
      <c r="AF83" s="10"/>
      <c r="AG83" s="10"/>
      <c r="AH83" s="25">
        <f>IFERROR(SUMIFS('04_Потребность'!$D$4:$D$103,'04_Потребность'!$A$4:$A$103,A83,'04_Потребность'!$C$4:$C$103,B83),0)</f>
        <v>0</v>
      </c>
      <c r="AI83" s="26" t="str">
        <f>IF(OR(A83="",B83=""),"",IFERROR(SUMIFS('04_Потребность'!$E$4:$E$103,'04_Потребность'!$A$4:$A$103,A83,'04_Потребность'!$C$4:$C$103,B83),0))</f>
        <v/>
      </c>
      <c r="AJ83" s="25" t="str">
        <f>IF(OR(A83="",B83=""),"",IFERROR(SUMIFS('04_Потребность'!$F$4:$F$103,'04_Потребность'!$A$4:$A$103,A83,'04_Потребность'!$C$4:$C$103,B83),0))</f>
        <v/>
      </c>
      <c r="AK83" s="29" t="str">
        <f>IF(OR(A83="",B83=""),"",IFERROR(SUMIFS('04_Потребность'!$G$4:$G$103,'04_Потребность'!$A$4:$A$103,A83,'04_Потребность'!$C$4:$C$103,B83),0))</f>
        <v/>
      </c>
      <c r="AL83" s="25" t="str">
        <f>IF('03_Настройки'!$B$7="Нет","Нет",IF(COUNTIFS('04_Потребность'!$A$4:$A$103,A83,'04_Потребность'!$C$4:$C$103,B83,'04_Потребность'!$H$4:$H$103,"Да")&gt;0,"Да","Нет"))</f>
        <v>Нет</v>
      </c>
      <c r="AM83" s="30">
        <f t="shared" si="40"/>
        <v>0</v>
      </c>
      <c r="AN83" s="30">
        <f t="shared" si="41"/>
        <v>0</v>
      </c>
      <c r="AO83" s="29">
        <f t="shared" si="42"/>
        <v>0</v>
      </c>
      <c r="AP83" s="29">
        <f t="shared" si="43"/>
        <v>0</v>
      </c>
      <c r="AQ83" s="29">
        <f t="shared" si="44"/>
        <v>0</v>
      </c>
      <c r="AR83" s="29">
        <f>IFERROR(E83*'03_Настройки'!$B$4/365*(IF(T83&gt;0,T83*V83*(1+W83)*MAX(0,N83-U83),0)+IF(X83&gt;0,X83*Z83*(1+AA83)*MAX(0,N83-Y83),0)+IF(AB83&gt;0,AB83*AD83*(1+AE83)*MAX(0,N83-AC83),0)),0)</f>
        <v>0</v>
      </c>
      <c r="AS83" s="29">
        <f t="shared" si="45"/>
        <v>0</v>
      </c>
      <c r="AT83" s="31">
        <f t="shared" si="46"/>
        <v>0</v>
      </c>
      <c r="AU83" s="31">
        <f t="shared" si="47"/>
        <v>0</v>
      </c>
      <c r="AV83" s="32">
        <f t="shared" si="48"/>
        <v>0</v>
      </c>
      <c r="AW83" s="29" t="e">
        <f t="shared" si="49"/>
        <v>#VALUE!</v>
      </c>
      <c r="AX83" s="29">
        <f t="shared" si="50"/>
        <v>0</v>
      </c>
      <c r="AY83" s="29" t="e">
        <f t="shared" si="51"/>
        <v>#VALUE!</v>
      </c>
      <c r="AZ83" s="25" t="str">
        <f>IF(AND(A83&lt;&gt;"",B83&lt;&gt;"",C83&lt;&gt;"",D83&gt;0,E83&gt;0,N83&lt;&gt;"",AH83&gt;0,O83="Да",P83="Да",BZ83="ПОЛНО",ABS(AN83-1)&lt;='03_Настройки'!$B$5,IF(T83&gt;0,AND(U83&lt;&gt;"",V83&gt;0),TRUE()),IF(X83&gt;0,AND(Y83&lt;&gt;"",Z83&gt;0),TRUE()),IF(AB83&gt;0,AND(AC83&lt;&gt;"",AD83&gt;0),TRUE()),OR(BM83="",BM83="Активна")),"Да","Нет")</f>
        <v>Нет</v>
      </c>
      <c r="BA83" s="25" t="str">
        <f t="shared" si="52"/>
        <v>Нет</v>
      </c>
      <c r="BB83" s="25" t="str">
        <f t="shared" si="53"/>
        <v/>
      </c>
      <c r="BC83" s="25" t="str">
        <f t="shared" si="54"/>
        <v/>
      </c>
      <c r="BD83" s="25" t="str">
        <f t="shared" si="55"/>
        <v/>
      </c>
      <c r="BE83" s="25" t="str">
        <f>IF(A83="","",IF(BZ83&lt;&gt;"ПОЛНО","BLOCK: неполная форма",IF(O83&lt;&gt;"Да","BLOCK: ввоз не разрешён",IF(P83&lt;&gt;"Да","BLOCK: документы не подтверждены",IF(ABS(AN83-1)&gt;'03_Настройки'!$B$5,"BLOCK: платежи не 100%",IF(AND(BM83&lt;&gt;"",BM83&lt;&gt;"Активна"),"BLOCK: позиция "&amp;BM83,IF(BA83&lt;&gt;"Да","PARTIAL: не покрывает потребность",IF(BB83="ДА","самый дешёвый"&amp;IF(BC83="ДА"," + быстрый","")&amp;IF(BD83="ДА"," + optimal",""),IF(BC83="ДА","самый быстрый"&amp;IF(BD83="ДА"," + optimal",""),IF(BD83="ДА","optimal","Допущен"))))))))))</f>
        <v/>
      </c>
      <c r="BF83" s="25">
        <f>ROW()</f>
        <v>83</v>
      </c>
      <c r="BG83" s="33"/>
      <c r="BH83" s="33"/>
      <c r="BI83" s="33"/>
      <c r="BJ83" s="33"/>
      <c r="BK83" s="33"/>
      <c r="BL83" s="34"/>
      <c r="BM83" s="33"/>
      <c r="BN83" s="35" t="str">
        <f t="shared" si="56"/>
        <v/>
      </c>
      <c r="BO83" s="36" t="str">
        <f t="shared" si="57"/>
        <v/>
      </c>
      <c r="BP83" s="33"/>
      <c r="BQ83" s="38"/>
      <c r="BR83" s="13"/>
      <c r="BS83" s="13"/>
      <c r="BT83" s="13"/>
      <c r="BU83" s="13"/>
      <c r="BV83" s="13"/>
      <c r="BW83" s="13"/>
      <c r="BX83" s="39" t="str">
        <f t="shared" si="58"/>
        <v/>
      </c>
      <c r="BY83" s="47"/>
      <c r="BZ83" s="48" t="str">
        <f t="shared" si="59"/>
        <v/>
      </c>
      <c r="CA83" s="47"/>
      <c r="CB83" s="47"/>
      <c r="CC83" s="47"/>
    </row>
    <row r="84" spans="1:81" ht="14.25" x14ac:dyDescent="0.45">
      <c r="A84" s="10"/>
      <c r="B84" s="10"/>
      <c r="C84" s="10"/>
      <c r="D84" s="10"/>
      <c r="E84" s="10"/>
      <c r="F84" s="10"/>
      <c r="G84" s="10"/>
      <c r="H84" s="25" t="str">
        <f>IFERROR(VLOOKUP(C84,'01_Поставщики'!$A$4:$M$11,2,FALSE()),"")</f>
        <v/>
      </c>
      <c r="I84" s="10"/>
      <c r="J84" s="25" t="str">
        <f>IFERROR(VLOOKUP(C84,'01_Поставщики'!$A$4:$M$11,8,FALSE()),"")</f>
        <v/>
      </c>
      <c r="K84" s="25" t="str">
        <f>IFERROR(VLOOKUP(C84,'01_Поставщики'!$A$4:$M$11,4,FALSE()),"")</f>
        <v/>
      </c>
      <c r="L84" s="25" t="str">
        <f>IFERROR(VLOOKUP(C84,'01_Поставщики'!$A$4:$M$11,10,FALSE()),"")</f>
        <v/>
      </c>
      <c r="M84" s="26" t="str">
        <f>IF(OR(A84="",B84=""),"",IFERROR(SUMIFS('04_Потребность'!$B$4:$B$103,'04_Потребность'!$A$4:$A$103,A84,'04_Потребность'!$C$4:$C$103,B84),0))</f>
        <v/>
      </c>
      <c r="N84" s="11"/>
      <c r="O84" s="10"/>
      <c r="P84" s="10"/>
      <c r="Q84" s="27"/>
      <c r="R84" s="27"/>
      <c r="S84" s="8"/>
      <c r="T84" s="8">
        <f>IFERROR(INDEX('02_Схемы оплаты'!$C$4:$C$19,MATCH($C84&amp;"|"&amp;$G84,'02_Схемы оплаты'!$H$4:$H$19,0)),0)</f>
        <v>0</v>
      </c>
      <c r="U84" s="11"/>
      <c r="V84" s="28"/>
      <c r="W84" s="8"/>
      <c r="X84" s="8">
        <f>IFERROR(INDEX('02_Схемы оплаты'!$D$4:$D$19,MATCH($C84&amp;"|"&amp;$G84,'02_Схемы оплаты'!$H$4:$H$19,0)),0)</f>
        <v>0</v>
      </c>
      <c r="Y84" s="11"/>
      <c r="Z84" s="28"/>
      <c r="AA84" s="8"/>
      <c r="AB84" s="8">
        <f>IFERROR(INDEX('02_Схемы оплаты'!$E$4:$E$19,MATCH($C84&amp;"|"&amp;$G84,'02_Схемы оплаты'!$H$4:$H$19,0)),0)</f>
        <v>0</v>
      </c>
      <c r="AC84" s="11"/>
      <c r="AD84" s="28"/>
      <c r="AE84" s="8"/>
      <c r="AF84" s="10"/>
      <c r="AG84" s="10"/>
      <c r="AH84" s="25">
        <f>IFERROR(SUMIFS('04_Потребность'!$D$4:$D$103,'04_Потребность'!$A$4:$A$103,A84,'04_Потребность'!$C$4:$C$103,B84),0)</f>
        <v>0</v>
      </c>
      <c r="AI84" s="26" t="str">
        <f>IF(OR(A84="",B84=""),"",IFERROR(SUMIFS('04_Потребность'!$E$4:$E$103,'04_Потребность'!$A$4:$A$103,A84,'04_Потребность'!$C$4:$C$103,B84),0))</f>
        <v/>
      </c>
      <c r="AJ84" s="25" t="str">
        <f>IF(OR(A84="",B84=""),"",IFERROR(SUMIFS('04_Потребность'!$F$4:$F$103,'04_Потребность'!$A$4:$A$103,A84,'04_Потребность'!$C$4:$C$103,B84),0))</f>
        <v/>
      </c>
      <c r="AK84" s="29" t="str">
        <f>IF(OR(A84="",B84=""),"",IFERROR(SUMIFS('04_Потребность'!$G$4:$G$103,'04_Потребность'!$A$4:$A$103,A84,'04_Потребность'!$C$4:$C$103,B84),0))</f>
        <v/>
      </c>
      <c r="AL84" s="25" t="str">
        <f>IF('03_Настройки'!$B$7="Нет","Нет",IF(COUNTIFS('04_Потребность'!$A$4:$A$103,A84,'04_Потребность'!$C$4:$C$103,B84,'04_Потребность'!$H$4:$H$103,"Да")&gt;0,"Да","Нет"))</f>
        <v>Нет</v>
      </c>
      <c r="AM84" s="30">
        <f t="shared" si="40"/>
        <v>0</v>
      </c>
      <c r="AN84" s="30">
        <f t="shared" si="41"/>
        <v>0</v>
      </c>
      <c r="AO84" s="29">
        <f t="shared" si="42"/>
        <v>0</v>
      </c>
      <c r="AP84" s="29">
        <f t="shared" si="43"/>
        <v>0</v>
      </c>
      <c r="AQ84" s="29">
        <f t="shared" si="44"/>
        <v>0</v>
      </c>
      <c r="AR84" s="29">
        <f>IFERROR(E84*'03_Настройки'!$B$4/365*(IF(T84&gt;0,T84*V84*(1+W84)*MAX(0,N84-U84),0)+IF(X84&gt;0,X84*Z84*(1+AA84)*MAX(0,N84-Y84),0)+IF(AB84&gt;0,AB84*AD84*(1+AE84)*MAX(0,N84-AC84),0)),0)</f>
        <v>0</v>
      </c>
      <c r="AS84" s="29">
        <f t="shared" si="45"/>
        <v>0</v>
      </c>
      <c r="AT84" s="31">
        <f t="shared" si="46"/>
        <v>0</v>
      </c>
      <c r="AU84" s="31">
        <f t="shared" si="47"/>
        <v>0</v>
      </c>
      <c r="AV84" s="32">
        <f t="shared" si="48"/>
        <v>0</v>
      </c>
      <c r="AW84" s="29" t="e">
        <f t="shared" si="49"/>
        <v>#VALUE!</v>
      </c>
      <c r="AX84" s="29">
        <f t="shared" si="50"/>
        <v>0</v>
      </c>
      <c r="AY84" s="29" t="e">
        <f t="shared" si="51"/>
        <v>#VALUE!</v>
      </c>
      <c r="AZ84" s="25" t="str">
        <f>IF(AND(A84&lt;&gt;"",B84&lt;&gt;"",C84&lt;&gt;"",D84&gt;0,E84&gt;0,N84&lt;&gt;"",AH84&gt;0,O84="Да",P84="Да",BZ84="ПОЛНО",ABS(AN84-1)&lt;='03_Настройки'!$B$5,IF(T84&gt;0,AND(U84&lt;&gt;"",V84&gt;0),TRUE()),IF(X84&gt;0,AND(Y84&lt;&gt;"",Z84&gt;0),TRUE()),IF(AB84&gt;0,AND(AC84&lt;&gt;"",AD84&gt;0),TRUE()),OR(BM84="",BM84="Активна")),"Да","Нет")</f>
        <v>Нет</v>
      </c>
      <c r="BA84" s="25" t="str">
        <f t="shared" si="52"/>
        <v>Нет</v>
      </c>
      <c r="BB84" s="25" t="str">
        <f t="shared" si="53"/>
        <v/>
      </c>
      <c r="BC84" s="25" t="str">
        <f t="shared" si="54"/>
        <v/>
      </c>
      <c r="BD84" s="25" t="str">
        <f t="shared" si="55"/>
        <v/>
      </c>
      <c r="BE84" s="25" t="str">
        <f>IF(A84="","",IF(BZ84&lt;&gt;"ПОЛНО","BLOCK: неполная форма",IF(O84&lt;&gt;"Да","BLOCK: ввоз не разрешён",IF(P84&lt;&gt;"Да","BLOCK: документы не подтверждены",IF(ABS(AN84-1)&gt;'03_Настройки'!$B$5,"BLOCK: платежи не 100%",IF(AND(BM84&lt;&gt;"",BM84&lt;&gt;"Активна"),"BLOCK: позиция "&amp;BM84,IF(BA84&lt;&gt;"Да","PARTIAL: не покрывает потребность",IF(BB84="ДА","самый дешёвый"&amp;IF(BC84="ДА"," + быстрый","")&amp;IF(BD84="ДА"," + optimal",""),IF(BC84="ДА","самый быстрый"&amp;IF(BD84="ДА"," + optimal",""),IF(BD84="ДА","optimal","Допущен"))))))))))</f>
        <v/>
      </c>
      <c r="BF84" s="25">
        <f>ROW()</f>
        <v>84</v>
      </c>
      <c r="BG84" s="33"/>
      <c r="BH84" s="33"/>
      <c r="BI84" s="33"/>
      <c r="BJ84" s="33"/>
      <c r="BK84" s="33"/>
      <c r="BL84" s="34"/>
      <c r="BM84" s="33"/>
      <c r="BN84" s="35" t="str">
        <f t="shared" si="56"/>
        <v/>
      </c>
      <c r="BO84" s="36" t="str">
        <f t="shared" si="57"/>
        <v/>
      </c>
      <c r="BP84" s="33"/>
      <c r="BQ84" s="38"/>
      <c r="BR84" s="13"/>
      <c r="BS84" s="13"/>
      <c r="BT84" s="13"/>
      <c r="BU84" s="13"/>
      <c r="BV84" s="13"/>
      <c r="BW84" s="13"/>
      <c r="BX84" s="39" t="str">
        <f t="shared" si="58"/>
        <v/>
      </c>
      <c r="BY84" s="47"/>
      <c r="BZ84" s="48" t="str">
        <f t="shared" si="59"/>
        <v/>
      </c>
      <c r="CA84" s="47"/>
      <c r="CB84" s="47"/>
      <c r="CC84" s="47"/>
    </row>
    <row r="85" spans="1:81" ht="14.25" x14ac:dyDescent="0.45">
      <c r="A85" s="10"/>
      <c r="B85" s="10"/>
      <c r="C85" s="10"/>
      <c r="D85" s="10"/>
      <c r="E85" s="10"/>
      <c r="F85" s="10"/>
      <c r="G85" s="10"/>
      <c r="H85" s="25" t="str">
        <f>IFERROR(VLOOKUP(C85,'01_Поставщики'!$A$4:$M$11,2,FALSE()),"")</f>
        <v/>
      </c>
      <c r="I85" s="10"/>
      <c r="J85" s="25" t="str">
        <f>IFERROR(VLOOKUP(C85,'01_Поставщики'!$A$4:$M$11,8,FALSE()),"")</f>
        <v/>
      </c>
      <c r="K85" s="25" t="str">
        <f>IFERROR(VLOOKUP(C85,'01_Поставщики'!$A$4:$M$11,4,FALSE()),"")</f>
        <v/>
      </c>
      <c r="L85" s="25" t="str">
        <f>IFERROR(VLOOKUP(C85,'01_Поставщики'!$A$4:$M$11,10,FALSE()),"")</f>
        <v/>
      </c>
      <c r="M85" s="26" t="str">
        <f>IF(OR(A85="",B85=""),"",IFERROR(SUMIFS('04_Потребность'!$B$4:$B$103,'04_Потребность'!$A$4:$A$103,A85,'04_Потребность'!$C$4:$C$103,B85),0))</f>
        <v/>
      </c>
      <c r="N85" s="11"/>
      <c r="O85" s="10"/>
      <c r="P85" s="10"/>
      <c r="Q85" s="27"/>
      <c r="R85" s="27"/>
      <c r="S85" s="8"/>
      <c r="T85" s="8">
        <f>IFERROR(INDEX('02_Схемы оплаты'!$C$4:$C$19,MATCH($C85&amp;"|"&amp;$G85,'02_Схемы оплаты'!$H$4:$H$19,0)),0)</f>
        <v>0</v>
      </c>
      <c r="U85" s="11"/>
      <c r="V85" s="28"/>
      <c r="W85" s="8"/>
      <c r="X85" s="8">
        <f>IFERROR(INDEX('02_Схемы оплаты'!$D$4:$D$19,MATCH($C85&amp;"|"&amp;$G85,'02_Схемы оплаты'!$H$4:$H$19,0)),0)</f>
        <v>0</v>
      </c>
      <c r="Y85" s="11"/>
      <c r="Z85" s="28"/>
      <c r="AA85" s="8"/>
      <c r="AB85" s="8">
        <f>IFERROR(INDEX('02_Схемы оплаты'!$E$4:$E$19,MATCH($C85&amp;"|"&amp;$G85,'02_Схемы оплаты'!$H$4:$H$19,0)),0)</f>
        <v>0</v>
      </c>
      <c r="AC85" s="11"/>
      <c r="AD85" s="28"/>
      <c r="AE85" s="8"/>
      <c r="AF85" s="10"/>
      <c r="AG85" s="10"/>
      <c r="AH85" s="25">
        <f>IFERROR(SUMIFS('04_Потребность'!$D$4:$D$103,'04_Потребность'!$A$4:$A$103,A85,'04_Потребность'!$C$4:$C$103,B85),0)</f>
        <v>0</v>
      </c>
      <c r="AI85" s="26" t="str">
        <f>IF(OR(A85="",B85=""),"",IFERROR(SUMIFS('04_Потребность'!$E$4:$E$103,'04_Потребность'!$A$4:$A$103,A85,'04_Потребность'!$C$4:$C$103,B85),0))</f>
        <v/>
      </c>
      <c r="AJ85" s="25" t="str">
        <f>IF(OR(A85="",B85=""),"",IFERROR(SUMIFS('04_Потребность'!$F$4:$F$103,'04_Потребность'!$A$4:$A$103,A85,'04_Потребность'!$C$4:$C$103,B85),0))</f>
        <v/>
      </c>
      <c r="AK85" s="29" t="str">
        <f>IF(OR(A85="",B85=""),"",IFERROR(SUMIFS('04_Потребность'!$G$4:$G$103,'04_Потребность'!$A$4:$A$103,A85,'04_Потребность'!$C$4:$C$103,B85),0))</f>
        <v/>
      </c>
      <c r="AL85" s="25" t="str">
        <f>IF('03_Настройки'!$B$7="Нет","Нет",IF(COUNTIFS('04_Потребность'!$A$4:$A$103,A85,'04_Потребность'!$C$4:$C$103,B85,'04_Потребность'!$H$4:$H$103,"Да")&gt;0,"Да","Нет"))</f>
        <v>Нет</v>
      </c>
      <c r="AM85" s="30">
        <f t="shared" si="40"/>
        <v>0</v>
      </c>
      <c r="AN85" s="30">
        <f t="shared" si="41"/>
        <v>0</v>
      </c>
      <c r="AO85" s="29">
        <f t="shared" si="42"/>
        <v>0</v>
      </c>
      <c r="AP85" s="29">
        <f t="shared" si="43"/>
        <v>0</v>
      </c>
      <c r="AQ85" s="29">
        <f t="shared" si="44"/>
        <v>0</v>
      </c>
      <c r="AR85" s="29">
        <f>IFERROR(E85*'03_Настройки'!$B$4/365*(IF(T85&gt;0,T85*V85*(1+W85)*MAX(0,N85-U85),0)+IF(X85&gt;0,X85*Z85*(1+AA85)*MAX(0,N85-Y85),0)+IF(AB85&gt;0,AB85*AD85*(1+AE85)*MAX(0,N85-AC85),0)),0)</f>
        <v>0</v>
      </c>
      <c r="AS85" s="29">
        <f t="shared" si="45"/>
        <v>0</v>
      </c>
      <c r="AT85" s="31">
        <f t="shared" si="46"/>
        <v>0</v>
      </c>
      <c r="AU85" s="31">
        <f t="shared" si="47"/>
        <v>0</v>
      </c>
      <c r="AV85" s="32">
        <f t="shared" si="48"/>
        <v>0</v>
      </c>
      <c r="AW85" s="29" t="e">
        <f t="shared" si="49"/>
        <v>#VALUE!</v>
      </c>
      <c r="AX85" s="29">
        <f t="shared" si="50"/>
        <v>0</v>
      </c>
      <c r="AY85" s="29" t="e">
        <f t="shared" si="51"/>
        <v>#VALUE!</v>
      </c>
      <c r="AZ85" s="25" t="str">
        <f>IF(AND(A85&lt;&gt;"",B85&lt;&gt;"",C85&lt;&gt;"",D85&gt;0,E85&gt;0,N85&lt;&gt;"",AH85&gt;0,O85="Да",P85="Да",BZ85="ПОЛНО",ABS(AN85-1)&lt;='03_Настройки'!$B$5,IF(T85&gt;0,AND(U85&lt;&gt;"",V85&gt;0),TRUE()),IF(X85&gt;0,AND(Y85&lt;&gt;"",Z85&gt;0),TRUE()),IF(AB85&gt;0,AND(AC85&lt;&gt;"",AD85&gt;0),TRUE()),OR(BM85="",BM85="Активна")),"Да","Нет")</f>
        <v>Нет</v>
      </c>
      <c r="BA85" s="25" t="str">
        <f t="shared" si="52"/>
        <v>Нет</v>
      </c>
      <c r="BB85" s="25" t="str">
        <f t="shared" si="53"/>
        <v/>
      </c>
      <c r="BC85" s="25" t="str">
        <f t="shared" si="54"/>
        <v/>
      </c>
      <c r="BD85" s="25" t="str">
        <f t="shared" si="55"/>
        <v/>
      </c>
      <c r="BE85" s="25" t="str">
        <f>IF(A85="","",IF(BZ85&lt;&gt;"ПОЛНО","BLOCK: неполная форма",IF(O85&lt;&gt;"Да","BLOCK: ввоз не разрешён",IF(P85&lt;&gt;"Да","BLOCK: документы не подтверждены",IF(ABS(AN85-1)&gt;'03_Настройки'!$B$5,"BLOCK: платежи не 100%",IF(AND(BM85&lt;&gt;"",BM85&lt;&gt;"Активна"),"BLOCK: позиция "&amp;BM85,IF(BA85&lt;&gt;"Да","PARTIAL: не покрывает потребность",IF(BB85="ДА","самый дешёвый"&amp;IF(BC85="ДА"," + быстрый","")&amp;IF(BD85="ДА"," + optimal",""),IF(BC85="ДА","самый быстрый"&amp;IF(BD85="ДА"," + optimal",""),IF(BD85="ДА","optimal","Допущен"))))))))))</f>
        <v/>
      </c>
      <c r="BF85" s="25">
        <f>ROW()</f>
        <v>85</v>
      </c>
      <c r="BG85" s="33"/>
      <c r="BH85" s="33"/>
      <c r="BI85" s="33"/>
      <c r="BJ85" s="33"/>
      <c r="BK85" s="33"/>
      <c r="BL85" s="34"/>
      <c r="BM85" s="33"/>
      <c r="BN85" s="35" t="str">
        <f t="shared" si="56"/>
        <v/>
      </c>
      <c r="BO85" s="36" t="str">
        <f t="shared" si="57"/>
        <v/>
      </c>
      <c r="BP85" s="33"/>
      <c r="BQ85" s="38"/>
      <c r="BR85" s="13"/>
      <c r="BS85" s="13"/>
      <c r="BT85" s="13"/>
      <c r="BU85" s="13"/>
      <c r="BV85" s="13"/>
      <c r="BW85" s="13"/>
      <c r="BX85" s="39" t="str">
        <f t="shared" si="58"/>
        <v/>
      </c>
      <c r="BY85" s="47"/>
      <c r="BZ85" s="48" t="str">
        <f t="shared" si="59"/>
        <v/>
      </c>
      <c r="CA85" s="47"/>
      <c r="CB85" s="47"/>
      <c r="CC85" s="47"/>
    </row>
    <row r="86" spans="1:81" ht="14.25" x14ac:dyDescent="0.45">
      <c r="A86" s="10"/>
      <c r="B86" s="10"/>
      <c r="C86" s="10"/>
      <c r="D86" s="10"/>
      <c r="E86" s="10"/>
      <c r="F86" s="10"/>
      <c r="G86" s="10"/>
      <c r="H86" s="25" t="str">
        <f>IFERROR(VLOOKUP(C86,'01_Поставщики'!$A$4:$M$11,2,FALSE()),"")</f>
        <v/>
      </c>
      <c r="I86" s="10"/>
      <c r="J86" s="25" t="str">
        <f>IFERROR(VLOOKUP(C86,'01_Поставщики'!$A$4:$M$11,8,FALSE()),"")</f>
        <v/>
      </c>
      <c r="K86" s="25" t="str">
        <f>IFERROR(VLOOKUP(C86,'01_Поставщики'!$A$4:$M$11,4,FALSE()),"")</f>
        <v/>
      </c>
      <c r="L86" s="25" t="str">
        <f>IFERROR(VLOOKUP(C86,'01_Поставщики'!$A$4:$M$11,10,FALSE()),"")</f>
        <v/>
      </c>
      <c r="M86" s="26" t="str">
        <f>IF(OR(A86="",B86=""),"",IFERROR(SUMIFS('04_Потребность'!$B$4:$B$103,'04_Потребность'!$A$4:$A$103,A86,'04_Потребность'!$C$4:$C$103,B86),0))</f>
        <v/>
      </c>
      <c r="N86" s="11"/>
      <c r="O86" s="10"/>
      <c r="P86" s="10"/>
      <c r="Q86" s="27"/>
      <c r="R86" s="27"/>
      <c r="S86" s="8"/>
      <c r="T86" s="8">
        <f>IFERROR(INDEX('02_Схемы оплаты'!$C$4:$C$19,MATCH($C86&amp;"|"&amp;$G86,'02_Схемы оплаты'!$H$4:$H$19,0)),0)</f>
        <v>0</v>
      </c>
      <c r="U86" s="11"/>
      <c r="V86" s="28"/>
      <c r="W86" s="8"/>
      <c r="X86" s="8">
        <f>IFERROR(INDEX('02_Схемы оплаты'!$D$4:$D$19,MATCH($C86&amp;"|"&amp;$G86,'02_Схемы оплаты'!$H$4:$H$19,0)),0)</f>
        <v>0</v>
      </c>
      <c r="Y86" s="11"/>
      <c r="Z86" s="28"/>
      <c r="AA86" s="8"/>
      <c r="AB86" s="8">
        <f>IFERROR(INDEX('02_Схемы оплаты'!$E$4:$E$19,MATCH($C86&amp;"|"&amp;$G86,'02_Схемы оплаты'!$H$4:$H$19,0)),0)</f>
        <v>0</v>
      </c>
      <c r="AC86" s="11"/>
      <c r="AD86" s="28"/>
      <c r="AE86" s="8"/>
      <c r="AF86" s="10"/>
      <c r="AG86" s="10"/>
      <c r="AH86" s="25">
        <f>IFERROR(SUMIFS('04_Потребность'!$D$4:$D$103,'04_Потребность'!$A$4:$A$103,A86,'04_Потребность'!$C$4:$C$103,B86),0)</f>
        <v>0</v>
      </c>
      <c r="AI86" s="26" t="str">
        <f>IF(OR(A86="",B86=""),"",IFERROR(SUMIFS('04_Потребность'!$E$4:$E$103,'04_Потребность'!$A$4:$A$103,A86,'04_Потребность'!$C$4:$C$103,B86),0))</f>
        <v/>
      </c>
      <c r="AJ86" s="25" t="str">
        <f>IF(OR(A86="",B86=""),"",IFERROR(SUMIFS('04_Потребность'!$F$4:$F$103,'04_Потребность'!$A$4:$A$103,A86,'04_Потребность'!$C$4:$C$103,B86),0))</f>
        <v/>
      </c>
      <c r="AK86" s="29" t="str">
        <f>IF(OR(A86="",B86=""),"",IFERROR(SUMIFS('04_Потребность'!$G$4:$G$103,'04_Потребность'!$A$4:$A$103,A86,'04_Потребность'!$C$4:$C$103,B86),0))</f>
        <v/>
      </c>
      <c r="AL86" s="25" t="str">
        <f>IF('03_Настройки'!$B$7="Нет","Нет",IF(COUNTIFS('04_Потребность'!$A$4:$A$103,A86,'04_Потребность'!$C$4:$C$103,B86,'04_Потребность'!$H$4:$H$103,"Да")&gt;0,"Да","Нет"))</f>
        <v>Нет</v>
      </c>
      <c r="AM86" s="30">
        <f t="shared" si="40"/>
        <v>0</v>
      </c>
      <c r="AN86" s="30">
        <f t="shared" si="41"/>
        <v>0</v>
      </c>
      <c r="AO86" s="29">
        <f t="shared" si="42"/>
        <v>0</v>
      </c>
      <c r="AP86" s="29">
        <f t="shared" si="43"/>
        <v>0</v>
      </c>
      <c r="AQ86" s="29">
        <f t="shared" si="44"/>
        <v>0</v>
      </c>
      <c r="AR86" s="29">
        <f>IFERROR(E86*'03_Настройки'!$B$4/365*(IF(T86&gt;0,T86*V86*(1+W86)*MAX(0,N86-U86),0)+IF(X86&gt;0,X86*Z86*(1+AA86)*MAX(0,N86-Y86),0)+IF(AB86&gt;0,AB86*AD86*(1+AE86)*MAX(0,N86-AC86),0)),0)</f>
        <v>0</v>
      </c>
      <c r="AS86" s="29">
        <f t="shared" si="45"/>
        <v>0</v>
      </c>
      <c r="AT86" s="31">
        <f t="shared" si="46"/>
        <v>0</v>
      </c>
      <c r="AU86" s="31">
        <f t="shared" si="47"/>
        <v>0</v>
      </c>
      <c r="AV86" s="32">
        <f t="shared" si="48"/>
        <v>0</v>
      </c>
      <c r="AW86" s="29" t="e">
        <f t="shared" si="49"/>
        <v>#VALUE!</v>
      </c>
      <c r="AX86" s="29">
        <f t="shared" si="50"/>
        <v>0</v>
      </c>
      <c r="AY86" s="29" t="e">
        <f t="shared" si="51"/>
        <v>#VALUE!</v>
      </c>
      <c r="AZ86" s="25" t="str">
        <f>IF(AND(A86&lt;&gt;"",B86&lt;&gt;"",C86&lt;&gt;"",D86&gt;0,E86&gt;0,N86&lt;&gt;"",AH86&gt;0,O86="Да",P86="Да",BZ86="ПОЛНО",ABS(AN86-1)&lt;='03_Настройки'!$B$5,IF(T86&gt;0,AND(U86&lt;&gt;"",V86&gt;0),TRUE()),IF(X86&gt;0,AND(Y86&lt;&gt;"",Z86&gt;0),TRUE()),IF(AB86&gt;0,AND(AC86&lt;&gt;"",AD86&gt;0),TRUE()),OR(BM86="",BM86="Активна")),"Да","Нет")</f>
        <v>Нет</v>
      </c>
      <c r="BA86" s="25" t="str">
        <f t="shared" si="52"/>
        <v>Нет</v>
      </c>
      <c r="BB86" s="25" t="str">
        <f t="shared" si="53"/>
        <v/>
      </c>
      <c r="BC86" s="25" t="str">
        <f t="shared" si="54"/>
        <v/>
      </c>
      <c r="BD86" s="25" t="str">
        <f t="shared" si="55"/>
        <v/>
      </c>
      <c r="BE86" s="25" t="str">
        <f>IF(A86="","",IF(BZ86&lt;&gt;"ПОЛНО","BLOCK: неполная форма",IF(O86&lt;&gt;"Да","BLOCK: ввоз не разрешён",IF(P86&lt;&gt;"Да","BLOCK: документы не подтверждены",IF(ABS(AN86-1)&gt;'03_Настройки'!$B$5,"BLOCK: платежи не 100%",IF(AND(BM86&lt;&gt;"",BM86&lt;&gt;"Активна"),"BLOCK: позиция "&amp;BM86,IF(BA86&lt;&gt;"Да","PARTIAL: не покрывает потребность",IF(BB86="ДА","самый дешёвый"&amp;IF(BC86="ДА"," + быстрый","")&amp;IF(BD86="ДА"," + optimal",""),IF(BC86="ДА","самый быстрый"&amp;IF(BD86="ДА"," + optimal",""),IF(BD86="ДА","optimal","Допущен"))))))))))</f>
        <v/>
      </c>
      <c r="BF86" s="25">
        <f>ROW()</f>
        <v>86</v>
      </c>
      <c r="BG86" s="33"/>
      <c r="BH86" s="33"/>
      <c r="BI86" s="33"/>
      <c r="BJ86" s="33"/>
      <c r="BK86" s="33"/>
      <c r="BL86" s="34"/>
      <c r="BM86" s="33"/>
      <c r="BN86" s="35" t="str">
        <f t="shared" si="56"/>
        <v/>
      </c>
      <c r="BO86" s="36" t="str">
        <f t="shared" si="57"/>
        <v/>
      </c>
      <c r="BP86" s="33"/>
      <c r="BQ86" s="38"/>
      <c r="BR86" s="13"/>
      <c r="BS86" s="13"/>
      <c r="BT86" s="13"/>
      <c r="BU86" s="13"/>
      <c r="BV86" s="13"/>
      <c r="BW86" s="13"/>
      <c r="BX86" s="39" t="str">
        <f t="shared" si="58"/>
        <v/>
      </c>
      <c r="BY86" s="47"/>
      <c r="BZ86" s="48" t="str">
        <f t="shared" si="59"/>
        <v/>
      </c>
      <c r="CA86" s="47"/>
      <c r="CB86" s="47"/>
      <c r="CC86" s="47"/>
    </row>
    <row r="87" spans="1:81" ht="14.25" x14ac:dyDescent="0.45">
      <c r="A87" s="10"/>
      <c r="B87" s="10"/>
      <c r="C87" s="10"/>
      <c r="D87" s="10"/>
      <c r="E87" s="10"/>
      <c r="F87" s="10"/>
      <c r="G87" s="10"/>
      <c r="H87" s="25" t="str">
        <f>IFERROR(VLOOKUP(C87,'01_Поставщики'!$A$4:$M$11,2,FALSE()),"")</f>
        <v/>
      </c>
      <c r="I87" s="10"/>
      <c r="J87" s="25" t="str">
        <f>IFERROR(VLOOKUP(C87,'01_Поставщики'!$A$4:$M$11,8,FALSE()),"")</f>
        <v/>
      </c>
      <c r="K87" s="25" t="str">
        <f>IFERROR(VLOOKUP(C87,'01_Поставщики'!$A$4:$M$11,4,FALSE()),"")</f>
        <v/>
      </c>
      <c r="L87" s="25" t="str">
        <f>IFERROR(VLOOKUP(C87,'01_Поставщики'!$A$4:$M$11,10,FALSE()),"")</f>
        <v/>
      </c>
      <c r="M87" s="26" t="str">
        <f>IF(OR(A87="",B87=""),"",IFERROR(SUMIFS('04_Потребность'!$B$4:$B$103,'04_Потребность'!$A$4:$A$103,A87,'04_Потребность'!$C$4:$C$103,B87),0))</f>
        <v/>
      </c>
      <c r="N87" s="11"/>
      <c r="O87" s="10"/>
      <c r="P87" s="10"/>
      <c r="Q87" s="27"/>
      <c r="R87" s="27"/>
      <c r="S87" s="8"/>
      <c r="T87" s="8">
        <f>IFERROR(INDEX('02_Схемы оплаты'!$C$4:$C$19,MATCH($C87&amp;"|"&amp;$G87,'02_Схемы оплаты'!$H$4:$H$19,0)),0)</f>
        <v>0</v>
      </c>
      <c r="U87" s="11"/>
      <c r="V87" s="28"/>
      <c r="W87" s="8"/>
      <c r="X87" s="8">
        <f>IFERROR(INDEX('02_Схемы оплаты'!$D$4:$D$19,MATCH($C87&amp;"|"&amp;$G87,'02_Схемы оплаты'!$H$4:$H$19,0)),0)</f>
        <v>0</v>
      </c>
      <c r="Y87" s="11"/>
      <c r="Z87" s="28"/>
      <c r="AA87" s="8"/>
      <c r="AB87" s="8">
        <f>IFERROR(INDEX('02_Схемы оплаты'!$E$4:$E$19,MATCH($C87&amp;"|"&amp;$G87,'02_Схемы оплаты'!$H$4:$H$19,0)),0)</f>
        <v>0</v>
      </c>
      <c r="AC87" s="11"/>
      <c r="AD87" s="28"/>
      <c r="AE87" s="8"/>
      <c r="AF87" s="10"/>
      <c r="AG87" s="10"/>
      <c r="AH87" s="25">
        <f>IFERROR(SUMIFS('04_Потребность'!$D$4:$D$103,'04_Потребность'!$A$4:$A$103,A87,'04_Потребность'!$C$4:$C$103,B87),0)</f>
        <v>0</v>
      </c>
      <c r="AI87" s="26" t="str">
        <f>IF(OR(A87="",B87=""),"",IFERROR(SUMIFS('04_Потребность'!$E$4:$E$103,'04_Потребность'!$A$4:$A$103,A87,'04_Потребность'!$C$4:$C$103,B87),0))</f>
        <v/>
      </c>
      <c r="AJ87" s="25" t="str">
        <f>IF(OR(A87="",B87=""),"",IFERROR(SUMIFS('04_Потребность'!$F$4:$F$103,'04_Потребность'!$A$4:$A$103,A87,'04_Потребность'!$C$4:$C$103,B87),0))</f>
        <v/>
      </c>
      <c r="AK87" s="29" t="str">
        <f>IF(OR(A87="",B87=""),"",IFERROR(SUMIFS('04_Потребность'!$G$4:$G$103,'04_Потребность'!$A$4:$A$103,A87,'04_Потребность'!$C$4:$C$103,B87),0))</f>
        <v/>
      </c>
      <c r="AL87" s="25" t="str">
        <f>IF('03_Настройки'!$B$7="Нет","Нет",IF(COUNTIFS('04_Потребность'!$A$4:$A$103,A87,'04_Потребность'!$C$4:$C$103,B87,'04_Потребность'!$H$4:$H$103,"Да")&gt;0,"Да","Нет"))</f>
        <v>Нет</v>
      </c>
      <c r="AM87" s="30">
        <f t="shared" si="40"/>
        <v>0</v>
      </c>
      <c r="AN87" s="30">
        <f t="shared" si="41"/>
        <v>0</v>
      </c>
      <c r="AO87" s="29">
        <f t="shared" si="42"/>
        <v>0</v>
      </c>
      <c r="AP87" s="29">
        <f t="shared" si="43"/>
        <v>0</v>
      </c>
      <c r="AQ87" s="29">
        <f t="shared" si="44"/>
        <v>0</v>
      </c>
      <c r="AR87" s="29">
        <f>IFERROR(E87*'03_Настройки'!$B$4/365*(IF(T87&gt;0,T87*V87*(1+W87)*MAX(0,N87-U87),0)+IF(X87&gt;0,X87*Z87*(1+AA87)*MAX(0,N87-Y87),0)+IF(AB87&gt;0,AB87*AD87*(1+AE87)*MAX(0,N87-AC87),0)),0)</f>
        <v>0</v>
      </c>
      <c r="AS87" s="29">
        <f t="shared" si="45"/>
        <v>0</v>
      </c>
      <c r="AT87" s="31">
        <f t="shared" si="46"/>
        <v>0</v>
      </c>
      <c r="AU87" s="31">
        <f t="shared" si="47"/>
        <v>0</v>
      </c>
      <c r="AV87" s="32">
        <f t="shared" si="48"/>
        <v>0</v>
      </c>
      <c r="AW87" s="29" t="e">
        <f t="shared" si="49"/>
        <v>#VALUE!</v>
      </c>
      <c r="AX87" s="29">
        <f t="shared" si="50"/>
        <v>0</v>
      </c>
      <c r="AY87" s="29" t="e">
        <f t="shared" si="51"/>
        <v>#VALUE!</v>
      </c>
      <c r="AZ87" s="25" t="str">
        <f>IF(AND(A87&lt;&gt;"",B87&lt;&gt;"",C87&lt;&gt;"",D87&gt;0,E87&gt;0,N87&lt;&gt;"",AH87&gt;0,O87="Да",P87="Да",BZ87="ПОЛНО",ABS(AN87-1)&lt;='03_Настройки'!$B$5,IF(T87&gt;0,AND(U87&lt;&gt;"",V87&gt;0),TRUE()),IF(X87&gt;0,AND(Y87&lt;&gt;"",Z87&gt;0),TRUE()),IF(AB87&gt;0,AND(AC87&lt;&gt;"",AD87&gt;0),TRUE()),OR(BM87="",BM87="Активна")),"Да","Нет")</f>
        <v>Нет</v>
      </c>
      <c r="BA87" s="25" t="str">
        <f t="shared" si="52"/>
        <v>Нет</v>
      </c>
      <c r="BB87" s="25" t="str">
        <f t="shared" si="53"/>
        <v/>
      </c>
      <c r="BC87" s="25" t="str">
        <f t="shared" si="54"/>
        <v/>
      </c>
      <c r="BD87" s="25" t="str">
        <f t="shared" si="55"/>
        <v/>
      </c>
      <c r="BE87" s="25" t="str">
        <f>IF(A87="","",IF(BZ87&lt;&gt;"ПОЛНО","BLOCK: неполная форма",IF(O87&lt;&gt;"Да","BLOCK: ввоз не разрешён",IF(P87&lt;&gt;"Да","BLOCK: документы не подтверждены",IF(ABS(AN87-1)&gt;'03_Настройки'!$B$5,"BLOCK: платежи не 100%",IF(AND(BM87&lt;&gt;"",BM87&lt;&gt;"Активна"),"BLOCK: позиция "&amp;BM87,IF(BA87&lt;&gt;"Да","PARTIAL: не покрывает потребность",IF(BB87="ДА","самый дешёвый"&amp;IF(BC87="ДА"," + быстрый","")&amp;IF(BD87="ДА"," + optimal",""),IF(BC87="ДА","самый быстрый"&amp;IF(BD87="ДА"," + optimal",""),IF(BD87="ДА","optimal","Допущен"))))))))))</f>
        <v/>
      </c>
      <c r="BF87" s="25">
        <f>ROW()</f>
        <v>87</v>
      </c>
      <c r="BG87" s="33"/>
      <c r="BH87" s="33"/>
      <c r="BI87" s="33"/>
      <c r="BJ87" s="33"/>
      <c r="BK87" s="33"/>
      <c r="BL87" s="34"/>
      <c r="BM87" s="33"/>
      <c r="BN87" s="35" t="str">
        <f t="shared" si="56"/>
        <v/>
      </c>
      <c r="BO87" s="36" t="str">
        <f t="shared" si="57"/>
        <v/>
      </c>
      <c r="BP87" s="33"/>
      <c r="BQ87" s="38"/>
      <c r="BR87" s="13"/>
      <c r="BS87" s="13"/>
      <c r="BT87" s="13"/>
      <c r="BU87" s="13"/>
      <c r="BV87" s="13"/>
      <c r="BW87" s="13"/>
      <c r="BX87" s="39" t="str">
        <f t="shared" si="58"/>
        <v/>
      </c>
      <c r="BY87" s="47"/>
      <c r="BZ87" s="48" t="str">
        <f t="shared" si="59"/>
        <v/>
      </c>
      <c r="CA87" s="47"/>
      <c r="CB87" s="47"/>
      <c r="CC87" s="47"/>
    </row>
    <row r="88" spans="1:81" ht="14.25" x14ac:dyDescent="0.45">
      <c r="A88" s="10"/>
      <c r="B88" s="10"/>
      <c r="C88" s="10"/>
      <c r="D88" s="10"/>
      <c r="E88" s="10"/>
      <c r="F88" s="10"/>
      <c r="G88" s="10"/>
      <c r="H88" s="25" t="str">
        <f>IFERROR(VLOOKUP(C88,'01_Поставщики'!$A$4:$M$11,2,FALSE()),"")</f>
        <v/>
      </c>
      <c r="I88" s="10"/>
      <c r="J88" s="25" t="str">
        <f>IFERROR(VLOOKUP(C88,'01_Поставщики'!$A$4:$M$11,8,FALSE()),"")</f>
        <v/>
      </c>
      <c r="K88" s="25" t="str">
        <f>IFERROR(VLOOKUP(C88,'01_Поставщики'!$A$4:$M$11,4,FALSE()),"")</f>
        <v/>
      </c>
      <c r="L88" s="25" t="str">
        <f>IFERROR(VLOOKUP(C88,'01_Поставщики'!$A$4:$M$11,10,FALSE()),"")</f>
        <v/>
      </c>
      <c r="M88" s="26" t="str">
        <f>IF(OR(A88="",B88=""),"",IFERROR(SUMIFS('04_Потребность'!$B$4:$B$103,'04_Потребность'!$A$4:$A$103,A88,'04_Потребность'!$C$4:$C$103,B88),0))</f>
        <v/>
      </c>
      <c r="N88" s="11"/>
      <c r="O88" s="10"/>
      <c r="P88" s="10"/>
      <c r="Q88" s="27"/>
      <c r="R88" s="27"/>
      <c r="S88" s="8"/>
      <c r="T88" s="8">
        <f>IFERROR(INDEX('02_Схемы оплаты'!$C$4:$C$19,MATCH($C88&amp;"|"&amp;$G88,'02_Схемы оплаты'!$H$4:$H$19,0)),0)</f>
        <v>0</v>
      </c>
      <c r="U88" s="11"/>
      <c r="V88" s="28"/>
      <c r="W88" s="8"/>
      <c r="X88" s="8">
        <f>IFERROR(INDEX('02_Схемы оплаты'!$D$4:$D$19,MATCH($C88&amp;"|"&amp;$G88,'02_Схемы оплаты'!$H$4:$H$19,0)),0)</f>
        <v>0</v>
      </c>
      <c r="Y88" s="11"/>
      <c r="Z88" s="28"/>
      <c r="AA88" s="8"/>
      <c r="AB88" s="8">
        <f>IFERROR(INDEX('02_Схемы оплаты'!$E$4:$E$19,MATCH($C88&amp;"|"&amp;$G88,'02_Схемы оплаты'!$H$4:$H$19,0)),0)</f>
        <v>0</v>
      </c>
      <c r="AC88" s="11"/>
      <c r="AD88" s="28"/>
      <c r="AE88" s="8"/>
      <c r="AF88" s="10"/>
      <c r="AG88" s="10"/>
      <c r="AH88" s="25">
        <f>IFERROR(SUMIFS('04_Потребность'!$D$4:$D$103,'04_Потребность'!$A$4:$A$103,A88,'04_Потребность'!$C$4:$C$103,B88),0)</f>
        <v>0</v>
      </c>
      <c r="AI88" s="26" t="str">
        <f>IF(OR(A88="",B88=""),"",IFERROR(SUMIFS('04_Потребность'!$E$4:$E$103,'04_Потребность'!$A$4:$A$103,A88,'04_Потребность'!$C$4:$C$103,B88),0))</f>
        <v/>
      </c>
      <c r="AJ88" s="25" t="str">
        <f>IF(OR(A88="",B88=""),"",IFERROR(SUMIFS('04_Потребность'!$F$4:$F$103,'04_Потребность'!$A$4:$A$103,A88,'04_Потребность'!$C$4:$C$103,B88),0))</f>
        <v/>
      </c>
      <c r="AK88" s="29" t="str">
        <f>IF(OR(A88="",B88=""),"",IFERROR(SUMIFS('04_Потребность'!$G$4:$G$103,'04_Потребность'!$A$4:$A$103,A88,'04_Потребность'!$C$4:$C$103,B88),0))</f>
        <v/>
      </c>
      <c r="AL88" s="25" t="str">
        <f>IF('03_Настройки'!$B$7="Нет","Нет",IF(COUNTIFS('04_Потребность'!$A$4:$A$103,A88,'04_Потребность'!$C$4:$C$103,B88,'04_Потребность'!$H$4:$H$103,"Да")&gt;0,"Да","Нет"))</f>
        <v>Нет</v>
      </c>
      <c r="AM88" s="30">
        <f t="shared" si="40"/>
        <v>0</v>
      </c>
      <c r="AN88" s="30">
        <f t="shared" si="41"/>
        <v>0</v>
      </c>
      <c r="AO88" s="29">
        <f t="shared" si="42"/>
        <v>0</v>
      </c>
      <c r="AP88" s="29">
        <f t="shared" si="43"/>
        <v>0</v>
      </c>
      <c r="AQ88" s="29">
        <f t="shared" si="44"/>
        <v>0</v>
      </c>
      <c r="AR88" s="29">
        <f>IFERROR(E88*'03_Настройки'!$B$4/365*(IF(T88&gt;0,T88*V88*(1+W88)*MAX(0,N88-U88),0)+IF(X88&gt;0,X88*Z88*(1+AA88)*MAX(0,N88-Y88),0)+IF(AB88&gt;0,AB88*AD88*(1+AE88)*MAX(0,N88-AC88),0)),0)</f>
        <v>0</v>
      </c>
      <c r="AS88" s="29">
        <f t="shared" si="45"/>
        <v>0</v>
      </c>
      <c r="AT88" s="31">
        <f t="shared" si="46"/>
        <v>0</v>
      </c>
      <c r="AU88" s="31">
        <f t="shared" si="47"/>
        <v>0</v>
      </c>
      <c r="AV88" s="32">
        <f t="shared" si="48"/>
        <v>0</v>
      </c>
      <c r="AW88" s="29" t="e">
        <f t="shared" si="49"/>
        <v>#VALUE!</v>
      </c>
      <c r="AX88" s="29">
        <f t="shared" si="50"/>
        <v>0</v>
      </c>
      <c r="AY88" s="29" t="e">
        <f t="shared" si="51"/>
        <v>#VALUE!</v>
      </c>
      <c r="AZ88" s="25" t="str">
        <f>IF(AND(A88&lt;&gt;"",B88&lt;&gt;"",C88&lt;&gt;"",D88&gt;0,E88&gt;0,N88&lt;&gt;"",AH88&gt;0,O88="Да",P88="Да",BZ88="ПОЛНО",ABS(AN88-1)&lt;='03_Настройки'!$B$5,IF(T88&gt;0,AND(U88&lt;&gt;"",V88&gt;0),TRUE()),IF(X88&gt;0,AND(Y88&lt;&gt;"",Z88&gt;0),TRUE()),IF(AB88&gt;0,AND(AC88&lt;&gt;"",AD88&gt;0),TRUE()),OR(BM88="",BM88="Активна")),"Да","Нет")</f>
        <v>Нет</v>
      </c>
      <c r="BA88" s="25" t="str">
        <f t="shared" si="52"/>
        <v>Нет</v>
      </c>
      <c r="BB88" s="25" t="str">
        <f t="shared" si="53"/>
        <v/>
      </c>
      <c r="BC88" s="25" t="str">
        <f t="shared" si="54"/>
        <v/>
      </c>
      <c r="BD88" s="25" t="str">
        <f t="shared" si="55"/>
        <v/>
      </c>
      <c r="BE88" s="25" t="str">
        <f>IF(A88="","",IF(BZ88&lt;&gt;"ПОЛНО","BLOCK: неполная форма",IF(O88&lt;&gt;"Да","BLOCK: ввоз не разрешён",IF(P88&lt;&gt;"Да","BLOCK: документы не подтверждены",IF(ABS(AN88-1)&gt;'03_Настройки'!$B$5,"BLOCK: платежи не 100%",IF(AND(BM88&lt;&gt;"",BM88&lt;&gt;"Активна"),"BLOCK: позиция "&amp;BM88,IF(BA88&lt;&gt;"Да","PARTIAL: не покрывает потребность",IF(BB88="ДА","самый дешёвый"&amp;IF(BC88="ДА"," + быстрый","")&amp;IF(BD88="ДА"," + optimal",""),IF(BC88="ДА","самый быстрый"&amp;IF(BD88="ДА"," + optimal",""),IF(BD88="ДА","optimal","Допущен"))))))))))</f>
        <v/>
      </c>
      <c r="BF88" s="25">
        <f>ROW()</f>
        <v>88</v>
      </c>
      <c r="BG88" s="33"/>
      <c r="BH88" s="33"/>
      <c r="BI88" s="33"/>
      <c r="BJ88" s="33"/>
      <c r="BK88" s="33"/>
      <c r="BL88" s="34"/>
      <c r="BM88" s="33"/>
      <c r="BN88" s="35" t="str">
        <f t="shared" si="56"/>
        <v/>
      </c>
      <c r="BO88" s="36" t="str">
        <f t="shared" si="57"/>
        <v/>
      </c>
      <c r="BP88" s="33"/>
      <c r="BQ88" s="38"/>
      <c r="BR88" s="13"/>
      <c r="BS88" s="13"/>
      <c r="BT88" s="13"/>
      <c r="BU88" s="13"/>
      <c r="BV88" s="13"/>
      <c r="BW88" s="13"/>
      <c r="BX88" s="39" t="str">
        <f t="shared" si="58"/>
        <v/>
      </c>
      <c r="BY88" s="47"/>
      <c r="BZ88" s="48" t="str">
        <f t="shared" si="59"/>
        <v/>
      </c>
      <c r="CA88" s="47"/>
      <c r="CB88" s="47"/>
      <c r="CC88" s="47"/>
    </row>
    <row r="89" spans="1:81" ht="14.25" x14ac:dyDescent="0.45">
      <c r="A89" s="10"/>
      <c r="B89" s="10"/>
      <c r="C89" s="10"/>
      <c r="D89" s="10"/>
      <c r="E89" s="10"/>
      <c r="F89" s="10"/>
      <c r="G89" s="10"/>
      <c r="H89" s="25" t="str">
        <f>IFERROR(VLOOKUP(C89,'01_Поставщики'!$A$4:$M$11,2,FALSE()),"")</f>
        <v/>
      </c>
      <c r="I89" s="10"/>
      <c r="J89" s="25" t="str">
        <f>IFERROR(VLOOKUP(C89,'01_Поставщики'!$A$4:$M$11,8,FALSE()),"")</f>
        <v/>
      </c>
      <c r="K89" s="25" t="str">
        <f>IFERROR(VLOOKUP(C89,'01_Поставщики'!$A$4:$M$11,4,FALSE()),"")</f>
        <v/>
      </c>
      <c r="L89" s="25" t="str">
        <f>IFERROR(VLOOKUP(C89,'01_Поставщики'!$A$4:$M$11,10,FALSE()),"")</f>
        <v/>
      </c>
      <c r="M89" s="26" t="str">
        <f>IF(OR(A89="",B89=""),"",IFERROR(SUMIFS('04_Потребность'!$B$4:$B$103,'04_Потребность'!$A$4:$A$103,A89,'04_Потребность'!$C$4:$C$103,B89),0))</f>
        <v/>
      </c>
      <c r="N89" s="11"/>
      <c r="O89" s="10"/>
      <c r="P89" s="10"/>
      <c r="Q89" s="27"/>
      <c r="R89" s="27"/>
      <c r="S89" s="8"/>
      <c r="T89" s="8">
        <f>IFERROR(INDEX('02_Схемы оплаты'!$C$4:$C$19,MATCH($C89&amp;"|"&amp;$G89,'02_Схемы оплаты'!$H$4:$H$19,0)),0)</f>
        <v>0</v>
      </c>
      <c r="U89" s="11"/>
      <c r="V89" s="28"/>
      <c r="W89" s="8"/>
      <c r="X89" s="8">
        <f>IFERROR(INDEX('02_Схемы оплаты'!$D$4:$D$19,MATCH($C89&amp;"|"&amp;$G89,'02_Схемы оплаты'!$H$4:$H$19,0)),0)</f>
        <v>0</v>
      </c>
      <c r="Y89" s="11"/>
      <c r="Z89" s="28"/>
      <c r="AA89" s="8"/>
      <c r="AB89" s="8">
        <f>IFERROR(INDEX('02_Схемы оплаты'!$E$4:$E$19,MATCH($C89&amp;"|"&amp;$G89,'02_Схемы оплаты'!$H$4:$H$19,0)),0)</f>
        <v>0</v>
      </c>
      <c r="AC89" s="11"/>
      <c r="AD89" s="28"/>
      <c r="AE89" s="8"/>
      <c r="AF89" s="10"/>
      <c r="AG89" s="10"/>
      <c r="AH89" s="25">
        <f>IFERROR(SUMIFS('04_Потребность'!$D$4:$D$103,'04_Потребность'!$A$4:$A$103,A89,'04_Потребность'!$C$4:$C$103,B89),0)</f>
        <v>0</v>
      </c>
      <c r="AI89" s="26" t="str">
        <f>IF(OR(A89="",B89=""),"",IFERROR(SUMIFS('04_Потребность'!$E$4:$E$103,'04_Потребность'!$A$4:$A$103,A89,'04_Потребность'!$C$4:$C$103,B89),0))</f>
        <v/>
      </c>
      <c r="AJ89" s="25" t="str">
        <f>IF(OR(A89="",B89=""),"",IFERROR(SUMIFS('04_Потребность'!$F$4:$F$103,'04_Потребность'!$A$4:$A$103,A89,'04_Потребность'!$C$4:$C$103,B89),0))</f>
        <v/>
      </c>
      <c r="AK89" s="29" t="str">
        <f>IF(OR(A89="",B89=""),"",IFERROR(SUMIFS('04_Потребность'!$G$4:$G$103,'04_Потребность'!$A$4:$A$103,A89,'04_Потребность'!$C$4:$C$103,B89),0))</f>
        <v/>
      </c>
      <c r="AL89" s="25" t="str">
        <f>IF('03_Настройки'!$B$7="Нет","Нет",IF(COUNTIFS('04_Потребность'!$A$4:$A$103,A89,'04_Потребность'!$C$4:$C$103,B89,'04_Потребность'!$H$4:$H$103,"Да")&gt;0,"Да","Нет"))</f>
        <v>Нет</v>
      </c>
      <c r="AM89" s="30">
        <f t="shared" si="40"/>
        <v>0</v>
      </c>
      <c r="AN89" s="30">
        <f t="shared" si="41"/>
        <v>0</v>
      </c>
      <c r="AO89" s="29">
        <f t="shared" si="42"/>
        <v>0</v>
      </c>
      <c r="AP89" s="29">
        <f t="shared" si="43"/>
        <v>0</v>
      </c>
      <c r="AQ89" s="29">
        <f t="shared" si="44"/>
        <v>0</v>
      </c>
      <c r="AR89" s="29">
        <f>IFERROR(E89*'03_Настройки'!$B$4/365*(IF(T89&gt;0,T89*V89*(1+W89)*MAX(0,N89-U89),0)+IF(X89&gt;0,X89*Z89*(1+AA89)*MAX(0,N89-Y89),0)+IF(AB89&gt;0,AB89*AD89*(1+AE89)*MAX(0,N89-AC89),0)),0)</f>
        <v>0</v>
      </c>
      <c r="AS89" s="29">
        <f t="shared" si="45"/>
        <v>0</v>
      </c>
      <c r="AT89" s="31">
        <f t="shared" si="46"/>
        <v>0</v>
      </c>
      <c r="AU89" s="31">
        <f t="shared" si="47"/>
        <v>0</v>
      </c>
      <c r="AV89" s="32">
        <f t="shared" si="48"/>
        <v>0</v>
      </c>
      <c r="AW89" s="29" t="e">
        <f t="shared" si="49"/>
        <v>#VALUE!</v>
      </c>
      <c r="AX89" s="29">
        <f t="shared" si="50"/>
        <v>0</v>
      </c>
      <c r="AY89" s="29" t="e">
        <f t="shared" si="51"/>
        <v>#VALUE!</v>
      </c>
      <c r="AZ89" s="25" t="str">
        <f>IF(AND(A89&lt;&gt;"",B89&lt;&gt;"",C89&lt;&gt;"",D89&gt;0,E89&gt;0,N89&lt;&gt;"",AH89&gt;0,O89="Да",P89="Да",BZ89="ПОЛНО",ABS(AN89-1)&lt;='03_Настройки'!$B$5,IF(T89&gt;0,AND(U89&lt;&gt;"",V89&gt;0),TRUE()),IF(X89&gt;0,AND(Y89&lt;&gt;"",Z89&gt;0),TRUE()),IF(AB89&gt;0,AND(AC89&lt;&gt;"",AD89&gt;0),TRUE()),OR(BM89="",BM89="Активна")),"Да","Нет")</f>
        <v>Нет</v>
      </c>
      <c r="BA89" s="25" t="str">
        <f t="shared" si="52"/>
        <v>Нет</v>
      </c>
      <c r="BB89" s="25" t="str">
        <f t="shared" si="53"/>
        <v/>
      </c>
      <c r="BC89" s="25" t="str">
        <f t="shared" si="54"/>
        <v/>
      </c>
      <c r="BD89" s="25" t="str">
        <f t="shared" si="55"/>
        <v/>
      </c>
      <c r="BE89" s="25" t="str">
        <f>IF(A89="","",IF(BZ89&lt;&gt;"ПОЛНО","BLOCK: неполная форма",IF(O89&lt;&gt;"Да","BLOCK: ввоз не разрешён",IF(P89&lt;&gt;"Да","BLOCK: документы не подтверждены",IF(ABS(AN89-1)&gt;'03_Настройки'!$B$5,"BLOCK: платежи не 100%",IF(AND(BM89&lt;&gt;"",BM89&lt;&gt;"Активна"),"BLOCK: позиция "&amp;BM89,IF(BA89&lt;&gt;"Да","PARTIAL: не покрывает потребность",IF(BB89="ДА","самый дешёвый"&amp;IF(BC89="ДА"," + быстрый","")&amp;IF(BD89="ДА"," + optimal",""),IF(BC89="ДА","самый быстрый"&amp;IF(BD89="ДА"," + optimal",""),IF(BD89="ДА","optimal","Допущен"))))))))))</f>
        <v/>
      </c>
      <c r="BF89" s="25">
        <f>ROW()</f>
        <v>89</v>
      </c>
      <c r="BG89" s="33"/>
      <c r="BH89" s="33"/>
      <c r="BI89" s="33"/>
      <c r="BJ89" s="33"/>
      <c r="BK89" s="33"/>
      <c r="BL89" s="34"/>
      <c r="BM89" s="33"/>
      <c r="BN89" s="35" t="str">
        <f t="shared" si="56"/>
        <v/>
      </c>
      <c r="BO89" s="36" t="str">
        <f t="shared" si="57"/>
        <v/>
      </c>
      <c r="BP89" s="33"/>
      <c r="BQ89" s="38"/>
      <c r="BR89" s="13"/>
      <c r="BS89" s="13"/>
      <c r="BT89" s="13"/>
      <c r="BU89" s="13"/>
      <c r="BV89" s="13"/>
      <c r="BW89" s="13"/>
      <c r="BX89" s="39" t="str">
        <f t="shared" si="58"/>
        <v/>
      </c>
      <c r="BY89" s="47"/>
      <c r="BZ89" s="48" t="str">
        <f t="shared" si="59"/>
        <v/>
      </c>
      <c r="CA89" s="47"/>
      <c r="CB89" s="47"/>
      <c r="CC89" s="47"/>
    </row>
    <row r="90" spans="1:81" ht="14.25" x14ac:dyDescent="0.45">
      <c r="A90" s="10"/>
      <c r="B90" s="10"/>
      <c r="C90" s="10"/>
      <c r="D90" s="10"/>
      <c r="E90" s="10"/>
      <c r="F90" s="10"/>
      <c r="G90" s="10"/>
      <c r="H90" s="25" t="str">
        <f>IFERROR(VLOOKUP(C90,'01_Поставщики'!$A$4:$M$11,2,FALSE()),"")</f>
        <v/>
      </c>
      <c r="I90" s="10"/>
      <c r="J90" s="25" t="str">
        <f>IFERROR(VLOOKUP(C90,'01_Поставщики'!$A$4:$M$11,8,FALSE()),"")</f>
        <v/>
      </c>
      <c r="K90" s="25" t="str">
        <f>IFERROR(VLOOKUP(C90,'01_Поставщики'!$A$4:$M$11,4,FALSE()),"")</f>
        <v/>
      </c>
      <c r="L90" s="25" t="str">
        <f>IFERROR(VLOOKUP(C90,'01_Поставщики'!$A$4:$M$11,10,FALSE()),"")</f>
        <v/>
      </c>
      <c r="M90" s="26" t="str">
        <f>IF(OR(A90="",B90=""),"",IFERROR(SUMIFS('04_Потребность'!$B$4:$B$103,'04_Потребность'!$A$4:$A$103,A90,'04_Потребность'!$C$4:$C$103,B90),0))</f>
        <v/>
      </c>
      <c r="N90" s="11"/>
      <c r="O90" s="10"/>
      <c r="P90" s="10"/>
      <c r="Q90" s="27"/>
      <c r="R90" s="27"/>
      <c r="S90" s="8"/>
      <c r="T90" s="8">
        <f>IFERROR(INDEX('02_Схемы оплаты'!$C$4:$C$19,MATCH($C90&amp;"|"&amp;$G90,'02_Схемы оплаты'!$H$4:$H$19,0)),0)</f>
        <v>0</v>
      </c>
      <c r="U90" s="11"/>
      <c r="V90" s="28"/>
      <c r="W90" s="8"/>
      <c r="X90" s="8">
        <f>IFERROR(INDEX('02_Схемы оплаты'!$D$4:$D$19,MATCH($C90&amp;"|"&amp;$G90,'02_Схемы оплаты'!$H$4:$H$19,0)),0)</f>
        <v>0</v>
      </c>
      <c r="Y90" s="11"/>
      <c r="Z90" s="28"/>
      <c r="AA90" s="8"/>
      <c r="AB90" s="8">
        <f>IFERROR(INDEX('02_Схемы оплаты'!$E$4:$E$19,MATCH($C90&amp;"|"&amp;$G90,'02_Схемы оплаты'!$H$4:$H$19,0)),0)</f>
        <v>0</v>
      </c>
      <c r="AC90" s="11"/>
      <c r="AD90" s="28"/>
      <c r="AE90" s="8"/>
      <c r="AF90" s="10"/>
      <c r="AG90" s="10"/>
      <c r="AH90" s="25">
        <f>IFERROR(SUMIFS('04_Потребность'!$D$4:$D$103,'04_Потребность'!$A$4:$A$103,A90,'04_Потребность'!$C$4:$C$103,B90),0)</f>
        <v>0</v>
      </c>
      <c r="AI90" s="26" t="str">
        <f>IF(OR(A90="",B90=""),"",IFERROR(SUMIFS('04_Потребность'!$E$4:$E$103,'04_Потребность'!$A$4:$A$103,A90,'04_Потребность'!$C$4:$C$103,B90),0))</f>
        <v/>
      </c>
      <c r="AJ90" s="25" t="str">
        <f>IF(OR(A90="",B90=""),"",IFERROR(SUMIFS('04_Потребность'!$F$4:$F$103,'04_Потребность'!$A$4:$A$103,A90,'04_Потребность'!$C$4:$C$103,B90),0))</f>
        <v/>
      </c>
      <c r="AK90" s="29" t="str">
        <f>IF(OR(A90="",B90=""),"",IFERROR(SUMIFS('04_Потребность'!$G$4:$G$103,'04_Потребность'!$A$4:$A$103,A90,'04_Потребность'!$C$4:$C$103,B90),0))</f>
        <v/>
      </c>
      <c r="AL90" s="25" t="str">
        <f>IF('03_Настройки'!$B$7="Нет","Нет",IF(COUNTIFS('04_Потребность'!$A$4:$A$103,A90,'04_Потребность'!$C$4:$C$103,B90,'04_Потребность'!$H$4:$H$103,"Да")&gt;0,"Да","Нет"))</f>
        <v>Нет</v>
      </c>
      <c r="AM90" s="30">
        <f t="shared" si="40"/>
        <v>0</v>
      </c>
      <c r="AN90" s="30">
        <f t="shared" si="41"/>
        <v>0</v>
      </c>
      <c r="AO90" s="29">
        <f t="shared" si="42"/>
        <v>0</v>
      </c>
      <c r="AP90" s="29">
        <f t="shared" si="43"/>
        <v>0</v>
      </c>
      <c r="AQ90" s="29">
        <f t="shared" si="44"/>
        <v>0</v>
      </c>
      <c r="AR90" s="29">
        <f>IFERROR(E90*'03_Настройки'!$B$4/365*(IF(T90&gt;0,T90*V90*(1+W90)*MAX(0,N90-U90),0)+IF(X90&gt;0,X90*Z90*(1+AA90)*MAX(0,N90-Y90),0)+IF(AB90&gt;0,AB90*AD90*(1+AE90)*MAX(0,N90-AC90),0)),0)</f>
        <v>0</v>
      </c>
      <c r="AS90" s="29">
        <f t="shared" si="45"/>
        <v>0</v>
      </c>
      <c r="AT90" s="31">
        <f t="shared" si="46"/>
        <v>0</v>
      </c>
      <c r="AU90" s="31">
        <f t="shared" si="47"/>
        <v>0</v>
      </c>
      <c r="AV90" s="32">
        <f t="shared" si="48"/>
        <v>0</v>
      </c>
      <c r="AW90" s="29" t="e">
        <f t="shared" si="49"/>
        <v>#VALUE!</v>
      </c>
      <c r="AX90" s="29">
        <f t="shared" si="50"/>
        <v>0</v>
      </c>
      <c r="AY90" s="29" t="e">
        <f t="shared" si="51"/>
        <v>#VALUE!</v>
      </c>
      <c r="AZ90" s="25" t="str">
        <f>IF(AND(A90&lt;&gt;"",B90&lt;&gt;"",C90&lt;&gt;"",D90&gt;0,E90&gt;0,N90&lt;&gt;"",AH90&gt;0,O90="Да",P90="Да",BZ90="ПОЛНО",ABS(AN90-1)&lt;='03_Настройки'!$B$5,IF(T90&gt;0,AND(U90&lt;&gt;"",V90&gt;0),TRUE()),IF(X90&gt;0,AND(Y90&lt;&gt;"",Z90&gt;0),TRUE()),IF(AB90&gt;0,AND(AC90&lt;&gt;"",AD90&gt;0),TRUE()),OR(BM90="",BM90="Активна")),"Да","Нет")</f>
        <v>Нет</v>
      </c>
      <c r="BA90" s="25" t="str">
        <f t="shared" si="52"/>
        <v>Нет</v>
      </c>
      <c r="BB90" s="25" t="str">
        <f t="shared" si="53"/>
        <v/>
      </c>
      <c r="BC90" s="25" t="str">
        <f t="shared" si="54"/>
        <v/>
      </c>
      <c r="BD90" s="25" t="str">
        <f t="shared" si="55"/>
        <v/>
      </c>
      <c r="BE90" s="25" t="str">
        <f>IF(A90="","",IF(BZ90&lt;&gt;"ПОЛНО","BLOCK: неполная форма",IF(O90&lt;&gt;"Да","BLOCK: ввоз не разрешён",IF(P90&lt;&gt;"Да","BLOCK: документы не подтверждены",IF(ABS(AN90-1)&gt;'03_Настройки'!$B$5,"BLOCK: платежи не 100%",IF(AND(BM90&lt;&gt;"",BM90&lt;&gt;"Активна"),"BLOCK: позиция "&amp;BM90,IF(BA90&lt;&gt;"Да","PARTIAL: не покрывает потребность",IF(BB90="ДА","самый дешёвый"&amp;IF(BC90="ДА"," + быстрый","")&amp;IF(BD90="ДА"," + optimal",""),IF(BC90="ДА","самый быстрый"&amp;IF(BD90="ДА"," + optimal",""),IF(BD90="ДА","optimal","Допущен"))))))))))</f>
        <v/>
      </c>
      <c r="BF90" s="25">
        <f>ROW()</f>
        <v>90</v>
      </c>
      <c r="BG90" s="33"/>
      <c r="BH90" s="33"/>
      <c r="BI90" s="33"/>
      <c r="BJ90" s="33"/>
      <c r="BK90" s="33"/>
      <c r="BL90" s="34"/>
      <c r="BM90" s="33"/>
      <c r="BN90" s="35" t="str">
        <f t="shared" si="56"/>
        <v/>
      </c>
      <c r="BO90" s="36" t="str">
        <f t="shared" si="57"/>
        <v/>
      </c>
      <c r="BP90" s="33"/>
      <c r="BQ90" s="38"/>
      <c r="BR90" s="13"/>
      <c r="BS90" s="13"/>
      <c r="BT90" s="13"/>
      <c r="BU90" s="13"/>
      <c r="BV90" s="13"/>
      <c r="BW90" s="13"/>
      <c r="BX90" s="39" t="str">
        <f t="shared" si="58"/>
        <v/>
      </c>
      <c r="BY90" s="47"/>
      <c r="BZ90" s="48" t="str">
        <f t="shared" si="59"/>
        <v/>
      </c>
      <c r="CA90" s="47"/>
      <c r="CB90" s="47"/>
      <c r="CC90" s="47"/>
    </row>
    <row r="91" spans="1:81" ht="14.25" x14ac:dyDescent="0.45">
      <c r="A91" s="10"/>
      <c r="B91" s="10"/>
      <c r="C91" s="10"/>
      <c r="D91" s="10"/>
      <c r="E91" s="10"/>
      <c r="F91" s="10"/>
      <c r="G91" s="10"/>
      <c r="H91" s="25" t="str">
        <f>IFERROR(VLOOKUP(C91,'01_Поставщики'!$A$4:$M$11,2,FALSE()),"")</f>
        <v/>
      </c>
      <c r="I91" s="10"/>
      <c r="J91" s="25" t="str">
        <f>IFERROR(VLOOKUP(C91,'01_Поставщики'!$A$4:$M$11,8,FALSE()),"")</f>
        <v/>
      </c>
      <c r="K91" s="25" t="str">
        <f>IFERROR(VLOOKUP(C91,'01_Поставщики'!$A$4:$M$11,4,FALSE()),"")</f>
        <v/>
      </c>
      <c r="L91" s="25" t="str">
        <f>IFERROR(VLOOKUP(C91,'01_Поставщики'!$A$4:$M$11,10,FALSE()),"")</f>
        <v/>
      </c>
      <c r="M91" s="26" t="str">
        <f>IF(OR(A91="",B91=""),"",IFERROR(SUMIFS('04_Потребность'!$B$4:$B$103,'04_Потребность'!$A$4:$A$103,A91,'04_Потребность'!$C$4:$C$103,B91),0))</f>
        <v/>
      </c>
      <c r="N91" s="11"/>
      <c r="O91" s="10"/>
      <c r="P91" s="10"/>
      <c r="Q91" s="27"/>
      <c r="R91" s="27"/>
      <c r="S91" s="8"/>
      <c r="T91" s="8">
        <f>IFERROR(INDEX('02_Схемы оплаты'!$C$4:$C$19,MATCH($C91&amp;"|"&amp;$G91,'02_Схемы оплаты'!$H$4:$H$19,0)),0)</f>
        <v>0</v>
      </c>
      <c r="U91" s="11"/>
      <c r="V91" s="28"/>
      <c r="W91" s="8"/>
      <c r="X91" s="8">
        <f>IFERROR(INDEX('02_Схемы оплаты'!$D$4:$D$19,MATCH($C91&amp;"|"&amp;$G91,'02_Схемы оплаты'!$H$4:$H$19,0)),0)</f>
        <v>0</v>
      </c>
      <c r="Y91" s="11"/>
      <c r="Z91" s="28"/>
      <c r="AA91" s="8"/>
      <c r="AB91" s="8">
        <f>IFERROR(INDEX('02_Схемы оплаты'!$E$4:$E$19,MATCH($C91&amp;"|"&amp;$G91,'02_Схемы оплаты'!$H$4:$H$19,0)),0)</f>
        <v>0</v>
      </c>
      <c r="AC91" s="11"/>
      <c r="AD91" s="28"/>
      <c r="AE91" s="8"/>
      <c r="AF91" s="10"/>
      <c r="AG91" s="10"/>
      <c r="AH91" s="25">
        <f>IFERROR(SUMIFS('04_Потребность'!$D$4:$D$103,'04_Потребность'!$A$4:$A$103,A91,'04_Потребность'!$C$4:$C$103,B91),0)</f>
        <v>0</v>
      </c>
      <c r="AI91" s="26" t="str">
        <f>IF(OR(A91="",B91=""),"",IFERROR(SUMIFS('04_Потребность'!$E$4:$E$103,'04_Потребность'!$A$4:$A$103,A91,'04_Потребность'!$C$4:$C$103,B91),0))</f>
        <v/>
      </c>
      <c r="AJ91" s="25" t="str">
        <f>IF(OR(A91="",B91=""),"",IFERROR(SUMIFS('04_Потребность'!$F$4:$F$103,'04_Потребность'!$A$4:$A$103,A91,'04_Потребность'!$C$4:$C$103,B91),0))</f>
        <v/>
      </c>
      <c r="AK91" s="29" t="str">
        <f>IF(OR(A91="",B91=""),"",IFERROR(SUMIFS('04_Потребность'!$G$4:$G$103,'04_Потребность'!$A$4:$A$103,A91,'04_Потребность'!$C$4:$C$103,B91),0))</f>
        <v/>
      </c>
      <c r="AL91" s="25" t="str">
        <f>IF('03_Настройки'!$B$7="Нет","Нет",IF(COUNTIFS('04_Потребность'!$A$4:$A$103,A91,'04_Потребность'!$C$4:$C$103,B91,'04_Потребность'!$H$4:$H$103,"Да")&gt;0,"Да","Нет"))</f>
        <v>Нет</v>
      </c>
      <c r="AM91" s="30">
        <f t="shared" si="40"/>
        <v>0</v>
      </c>
      <c r="AN91" s="30">
        <f t="shared" si="41"/>
        <v>0</v>
      </c>
      <c r="AO91" s="29">
        <f t="shared" si="42"/>
        <v>0</v>
      </c>
      <c r="AP91" s="29">
        <f t="shared" si="43"/>
        <v>0</v>
      </c>
      <c r="AQ91" s="29">
        <f t="shared" si="44"/>
        <v>0</v>
      </c>
      <c r="AR91" s="29">
        <f>IFERROR(E91*'03_Настройки'!$B$4/365*(IF(T91&gt;0,T91*V91*(1+W91)*MAX(0,N91-U91),0)+IF(X91&gt;0,X91*Z91*(1+AA91)*MAX(0,N91-Y91),0)+IF(AB91&gt;0,AB91*AD91*(1+AE91)*MAX(0,N91-AC91),0)),0)</f>
        <v>0</v>
      </c>
      <c r="AS91" s="29">
        <f t="shared" si="45"/>
        <v>0</v>
      </c>
      <c r="AT91" s="31">
        <f t="shared" si="46"/>
        <v>0</v>
      </c>
      <c r="AU91" s="31">
        <f t="shared" si="47"/>
        <v>0</v>
      </c>
      <c r="AV91" s="32">
        <f t="shared" si="48"/>
        <v>0</v>
      </c>
      <c r="AW91" s="29" t="e">
        <f t="shared" si="49"/>
        <v>#VALUE!</v>
      </c>
      <c r="AX91" s="29">
        <f t="shared" si="50"/>
        <v>0</v>
      </c>
      <c r="AY91" s="29" t="e">
        <f t="shared" si="51"/>
        <v>#VALUE!</v>
      </c>
      <c r="AZ91" s="25" t="str">
        <f>IF(AND(A91&lt;&gt;"",B91&lt;&gt;"",C91&lt;&gt;"",D91&gt;0,E91&gt;0,N91&lt;&gt;"",AH91&gt;0,O91="Да",P91="Да",BZ91="ПОЛНО",ABS(AN91-1)&lt;='03_Настройки'!$B$5,IF(T91&gt;0,AND(U91&lt;&gt;"",V91&gt;0),TRUE()),IF(X91&gt;0,AND(Y91&lt;&gt;"",Z91&gt;0),TRUE()),IF(AB91&gt;0,AND(AC91&lt;&gt;"",AD91&gt;0),TRUE()),OR(BM91="",BM91="Активна")),"Да","Нет")</f>
        <v>Нет</v>
      </c>
      <c r="BA91" s="25" t="str">
        <f t="shared" si="52"/>
        <v>Нет</v>
      </c>
      <c r="BB91" s="25" t="str">
        <f t="shared" si="53"/>
        <v/>
      </c>
      <c r="BC91" s="25" t="str">
        <f t="shared" si="54"/>
        <v/>
      </c>
      <c r="BD91" s="25" t="str">
        <f t="shared" si="55"/>
        <v/>
      </c>
      <c r="BE91" s="25" t="str">
        <f>IF(A91="","",IF(BZ91&lt;&gt;"ПОЛНО","BLOCK: неполная форма",IF(O91&lt;&gt;"Да","BLOCK: ввоз не разрешён",IF(P91&lt;&gt;"Да","BLOCK: документы не подтверждены",IF(ABS(AN91-1)&gt;'03_Настройки'!$B$5,"BLOCK: платежи не 100%",IF(AND(BM91&lt;&gt;"",BM91&lt;&gt;"Активна"),"BLOCK: позиция "&amp;BM91,IF(BA91&lt;&gt;"Да","PARTIAL: не покрывает потребность",IF(BB91="ДА","самый дешёвый"&amp;IF(BC91="ДА"," + быстрый","")&amp;IF(BD91="ДА"," + optimal",""),IF(BC91="ДА","самый быстрый"&amp;IF(BD91="ДА"," + optimal",""),IF(BD91="ДА","optimal","Допущен"))))))))))</f>
        <v/>
      </c>
      <c r="BF91" s="25">
        <f>ROW()</f>
        <v>91</v>
      </c>
      <c r="BG91" s="33"/>
      <c r="BH91" s="33"/>
      <c r="BI91" s="33"/>
      <c r="BJ91" s="33"/>
      <c r="BK91" s="33"/>
      <c r="BL91" s="34"/>
      <c r="BM91" s="33"/>
      <c r="BN91" s="35" t="str">
        <f t="shared" si="56"/>
        <v/>
      </c>
      <c r="BO91" s="36" t="str">
        <f t="shared" si="57"/>
        <v/>
      </c>
      <c r="BP91" s="33"/>
      <c r="BQ91" s="38"/>
      <c r="BR91" s="13"/>
      <c r="BS91" s="13"/>
      <c r="BT91" s="13"/>
      <c r="BU91" s="13"/>
      <c r="BV91" s="13"/>
      <c r="BW91" s="13"/>
      <c r="BX91" s="39" t="str">
        <f t="shared" si="58"/>
        <v/>
      </c>
      <c r="BY91" s="47"/>
      <c r="BZ91" s="48" t="str">
        <f t="shared" si="59"/>
        <v/>
      </c>
      <c r="CA91" s="47"/>
      <c r="CB91" s="47"/>
      <c r="CC91" s="47"/>
    </row>
    <row r="92" spans="1:81" ht="14.25" x14ac:dyDescent="0.45">
      <c r="A92" s="10"/>
      <c r="B92" s="10"/>
      <c r="C92" s="10"/>
      <c r="D92" s="10"/>
      <c r="E92" s="10"/>
      <c r="F92" s="10"/>
      <c r="G92" s="10"/>
      <c r="H92" s="25" t="str">
        <f>IFERROR(VLOOKUP(C92,'01_Поставщики'!$A$4:$M$11,2,FALSE()),"")</f>
        <v/>
      </c>
      <c r="I92" s="10"/>
      <c r="J92" s="25" t="str">
        <f>IFERROR(VLOOKUP(C92,'01_Поставщики'!$A$4:$M$11,8,FALSE()),"")</f>
        <v/>
      </c>
      <c r="K92" s="25" t="str">
        <f>IFERROR(VLOOKUP(C92,'01_Поставщики'!$A$4:$M$11,4,FALSE()),"")</f>
        <v/>
      </c>
      <c r="L92" s="25" t="str">
        <f>IFERROR(VLOOKUP(C92,'01_Поставщики'!$A$4:$M$11,10,FALSE()),"")</f>
        <v/>
      </c>
      <c r="M92" s="26" t="str">
        <f>IF(OR(A92="",B92=""),"",IFERROR(SUMIFS('04_Потребность'!$B$4:$B$103,'04_Потребность'!$A$4:$A$103,A92,'04_Потребность'!$C$4:$C$103,B92),0))</f>
        <v/>
      </c>
      <c r="N92" s="11"/>
      <c r="O92" s="10"/>
      <c r="P92" s="10"/>
      <c r="Q92" s="27"/>
      <c r="R92" s="27"/>
      <c r="S92" s="8"/>
      <c r="T92" s="8">
        <f>IFERROR(INDEX('02_Схемы оплаты'!$C$4:$C$19,MATCH($C92&amp;"|"&amp;$G92,'02_Схемы оплаты'!$H$4:$H$19,0)),0)</f>
        <v>0</v>
      </c>
      <c r="U92" s="11"/>
      <c r="V92" s="28"/>
      <c r="W92" s="8"/>
      <c r="X92" s="8">
        <f>IFERROR(INDEX('02_Схемы оплаты'!$D$4:$D$19,MATCH($C92&amp;"|"&amp;$G92,'02_Схемы оплаты'!$H$4:$H$19,0)),0)</f>
        <v>0</v>
      </c>
      <c r="Y92" s="11"/>
      <c r="Z92" s="28"/>
      <c r="AA92" s="8"/>
      <c r="AB92" s="8">
        <f>IFERROR(INDEX('02_Схемы оплаты'!$E$4:$E$19,MATCH($C92&amp;"|"&amp;$G92,'02_Схемы оплаты'!$H$4:$H$19,0)),0)</f>
        <v>0</v>
      </c>
      <c r="AC92" s="11"/>
      <c r="AD92" s="28"/>
      <c r="AE92" s="8"/>
      <c r="AF92" s="10"/>
      <c r="AG92" s="10"/>
      <c r="AH92" s="25">
        <f>IFERROR(SUMIFS('04_Потребность'!$D$4:$D$103,'04_Потребность'!$A$4:$A$103,A92,'04_Потребность'!$C$4:$C$103,B92),0)</f>
        <v>0</v>
      </c>
      <c r="AI92" s="26" t="str">
        <f>IF(OR(A92="",B92=""),"",IFERROR(SUMIFS('04_Потребность'!$E$4:$E$103,'04_Потребность'!$A$4:$A$103,A92,'04_Потребность'!$C$4:$C$103,B92),0))</f>
        <v/>
      </c>
      <c r="AJ92" s="25" t="str">
        <f>IF(OR(A92="",B92=""),"",IFERROR(SUMIFS('04_Потребность'!$F$4:$F$103,'04_Потребность'!$A$4:$A$103,A92,'04_Потребность'!$C$4:$C$103,B92),0))</f>
        <v/>
      </c>
      <c r="AK92" s="29" t="str">
        <f>IF(OR(A92="",B92=""),"",IFERROR(SUMIFS('04_Потребность'!$G$4:$G$103,'04_Потребность'!$A$4:$A$103,A92,'04_Потребность'!$C$4:$C$103,B92),0))</f>
        <v/>
      </c>
      <c r="AL92" s="25" t="str">
        <f>IF('03_Настройки'!$B$7="Нет","Нет",IF(COUNTIFS('04_Потребность'!$A$4:$A$103,A92,'04_Потребность'!$C$4:$C$103,B92,'04_Потребность'!$H$4:$H$103,"Да")&gt;0,"Да","Нет"))</f>
        <v>Нет</v>
      </c>
      <c r="AM92" s="30">
        <f t="shared" si="40"/>
        <v>0</v>
      </c>
      <c r="AN92" s="30">
        <f t="shared" si="41"/>
        <v>0</v>
      </c>
      <c r="AO92" s="29">
        <f t="shared" si="42"/>
        <v>0</v>
      </c>
      <c r="AP92" s="29">
        <f t="shared" si="43"/>
        <v>0</v>
      </c>
      <c r="AQ92" s="29">
        <f t="shared" si="44"/>
        <v>0</v>
      </c>
      <c r="AR92" s="29">
        <f>IFERROR(E92*'03_Настройки'!$B$4/365*(IF(T92&gt;0,T92*V92*(1+W92)*MAX(0,N92-U92),0)+IF(X92&gt;0,X92*Z92*(1+AA92)*MAX(0,N92-Y92),0)+IF(AB92&gt;0,AB92*AD92*(1+AE92)*MAX(0,N92-AC92),0)),0)</f>
        <v>0</v>
      </c>
      <c r="AS92" s="29">
        <f t="shared" si="45"/>
        <v>0</v>
      </c>
      <c r="AT92" s="31">
        <f t="shared" si="46"/>
        <v>0</v>
      </c>
      <c r="AU92" s="31">
        <f t="shared" si="47"/>
        <v>0</v>
      </c>
      <c r="AV92" s="32">
        <f t="shared" si="48"/>
        <v>0</v>
      </c>
      <c r="AW92" s="29" t="e">
        <f t="shared" si="49"/>
        <v>#VALUE!</v>
      </c>
      <c r="AX92" s="29">
        <f t="shared" si="50"/>
        <v>0</v>
      </c>
      <c r="AY92" s="29" t="e">
        <f t="shared" si="51"/>
        <v>#VALUE!</v>
      </c>
      <c r="AZ92" s="25" t="str">
        <f>IF(AND(A92&lt;&gt;"",B92&lt;&gt;"",C92&lt;&gt;"",D92&gt;0,E92&gt;0,N92&lt;&gt;"",AH92&gt;0,O92="Да",P92="Да",BZ92="ПОЛНО",ABS(AN92-1)&lt;='03_Настройки'!$B$5,IF(T92&gt;0,AND(U92&lt;&gt;"",V92&gt;0),TRUE()),IF(X92&gt;0,AND(Y92&lt;&gt;"",Z92&gt;0),TRUE()),IF(AB92&gt;0,AND(AC92&lt;&gt;"",AD92&gt;0),TRUE()),OR(BM92="",BM92="Активна")),"Да","Нет")</f>
        <v>Нет</v>
      </c>
      <c r="BA92" s="25" t="str">
        <f t="shared" si="52"/>
        <v>Нет</v>
      </c>
      <c r="BB92" s="25" t="str">
        <f t="shared" si="53"/>
        <v/>
      </c>
      <c r="BC92" s="25" t="str">
        <f t="shared" si="54"/>
        <v/>
      </c>
      <c r="BD92" s="25" t="str">
        <f t="shared" si="55"/>
        <v/>
      </c>
      <c r="BE92" s="25" t="str">
        <f>IF(A92="","",IF(BZ92&lt;&gt;"ПОЛНО","BLOCK: неполная форма",IF(O92&lt;&gt;"Да","BLOCK: ввоз не разрешён",IF(P92&lt;&gt;"Да","BLOCK: документы не подтверждены",IF(ABS(AN92-1)&gt;'03_Настройки'!$B$5,"BLOCK: платежи не 100%",IF(AND(BM92&lt;&gt;"",BM92&lt;&gt;"Активна"),"BLOCK: позиция "&amp;BM92,IF(BA92&lt;&gt;"Да","PARTIAL: не покрывает потребность",IF(BB92="ДА","самый дешёвый"&amp;IF(BC92="ДА"," + быстрый","")&amp;IF(BD92="ДА"," + optimal",""),IF(BC92="ДА","самый быстрый"&amp;IF(BD92="ДА"," + optimal",""),IF(BD92="ДА","optimal","Допущен"))))))))))</f>
        <v/>
      </c>
      <c r="BF92" s="25">
        <f>ROW()</f>
        <v>92</v>
      </c>
      <c r="BG92" s="33"/>
      <c r="BH92" s="33"/>
      <c r="BI92" s="33"/>
      <c r="BJ92" s="33"/>
      <c r="BK92" s="33"/>
      <c r="BL92" s="34"/>
      <c r="BM92" s="33"/>
      <c r="BN92" s="35" t="str">
        <f t="shared" si="56"/>
        <v/>
      </c>
      <c r="BO92" s="36" t="str">
        <f t="shared" si="57"/>
        <v/>
      </c>
      <c r="BP92" s="33"/>
      <c r="BQ92" s="38"/>
      <c r="BR92" s="13"/>
      <c r="BS92" s="13"/>
      <c r="BT92" s="13"/>
      <c r="BU92" s="13"/>
      <c r="BV92" s="13"/>
      <c r="BW92" s="13"/>
      <c r="BX92" s="39" t="str">
        <f t="shared" si="58"/>
        <v/>
      </c>
      <c r="BY92" s="47"/>
      <c r="BZ92" s="48" t="str">
        <f t="shared" si="59"/>
        <v/>
      </c>
      <c r="CA92" s="47"/>
      <c r="CB92" s="47"/>
      <c r="CC92" s="47"/>
    </row>
    <row r="93" spans="1:81" ht="14.25" x14ac:dyDescent="0.45">
      <c r="A93" s="10"/>
      <c r="B93" s="10"/>
      <c r="C93" s="10"/>
      <c r="D93" s="10"/>
      <c r="E93" s="10"/>
      <c r="F93" s="10"/>
      <c r="G93" s="10"/>
      <c r="H93" s="25" t="str">
        <f>IFERROR(VLOOKUP(C93,'01_Поставщики'!$A$4:$M$11,2,FALSE()),"")</f>
        <v/>
      </c>
      <c r="I93" s="10"/>
      <c r="J93" s="25" t="str">
        <f>IFERROR(VLOOKUP(C93,'01_Поставщики'!$A$4:$M$11,8,FALSE()),"")</f>
        <v/>
      </c>
      <c r="K93" s="25" t="str">
        <f>IFERROR(VLOOKUP(C93,'01_Поставщики'!$A$4:$M$11,4,FALSE()),"")</f>
        <v/>
      </c>
      <c r="L93" s="25" t="str">
        <f>IFERROR(VLOOKUP(C93,'01_Поставщики'!$A$4:$M$11,10,FALSE()),"")</f>
        <v/>
      </c>
      <c r="M93" s="26" t="str">
        <f>IF(OR(A93="",B93=""),"",IFERROR(SUMIFS('04_Потребность'!$B$4:$B$103,'04_Потребность'!$A$4:$A$103,A93,'04_Потребность'!$C$4:$C$103,B93),0))</f>
        <v/>
      </c>
      <c r="N93" s="11"/>
      <c r="O93" s="10"/>
      <c r="P93" s="10"/>
      <c r="Q93" s="27"/>
      <c r="R93" s="27"/>
      <c r="S93" s="8"/>
      <c r="T93" s="8">
        <f>IFERROR(INDEX('02_Схемы оплаты'!$C$4:$C$19,MATCH($C93&amp;"|"&amp;$G93,'02_Схемы оплаты'!$H$4:$H$19,0)),0)</f>
        <v>0</v>
      </c>
      <c r="U93" s="11"/>
      <c r="V93" s="28"/>
      <c r="W93" s="8"/>
      <c r="X93" s="8">
        <f>IFERROR(INDEX('02_Схемы оплаты'!$D$4:$D$19,MATCH($C93&amp;"|"&amp;$G93,'02_Схемы оплаты'!$H$4:$H$19,0)),0)</f>
        <v>0</v>
      </c>
      <c r="Y93" s="11"/>
      <c r="Z93" s="28"/>
      <c r="AA93" s="8"/>
      <c r="AB93" s="8">
        <f>IFERROR(INDEX('02_Схемы оплаты'!$E$4:$E$19,MATCH($C93&amp;"|"&amp;$G93,'02_Схемы оплаты'!$H$4:$H$19,0)),0)</f>
        <v>0</v>
      </c>
      <c r="AC93" s="11"/>
      <c r="AD93" s="28"/>
      <c r="AE93" s="8"/>
      <c r="AF93" s="10"/>
      <c r="AG93" s="10"/>
      <c r="AH93" s="25">
        <f>IFERROR(SUMIFS('04_Потребность'!$D$4:$D$103,'04_Потребность'!$A$4:$A$103,A93,'04_Потребность'!$C$4:$C$103,B93),0)</f>
        <v>0</v>
      </c>
      <c r="AI93" s="26" t="str">
        <f>IF(OR(A93="",B93=""),"",IFERROR(SUMIFS('04_Потребность'!$E$4:$E$103,'04_Потребность'!$A$4:$A$103,A93,'04_Потребность'!$C$4:$C$103,B93),0))</f>
        <v/>
      </c>
      <c r="AJ93" s="25" t="str">
        <f>IF(OR(A93="",B93=""),"",IFERROR(SUMIFS('04_Потребность'!$F$4:$F$103,'04_Потребность'!$A$4:$A$103,A93,'04_Потребность'!$C$4:$C$103,B93),0))</f>
        <v/>
      </c>
      <c r="AK93" s="29" t="str">
        <f>IF(OR(A93="",B93=""),"",IFERROR(SUMIFS('04_Потребность'!$G$4:$G$103,'04_Потребность'!$A$4:$A$103,A93,'04_Потребность'!$C$4:$C$103,B93),0))</f>
        <v/>
      </c>
      <c r="AL93" s="25" t="str">
        <f>IF('03_Настройки'!$B$7="Нет","Нет",IF(COUNTIFS('04_Потребность'!$A$4:$A$103,A93,'04_Потребность'!$C$4:$C$103,B93,'04_Потребность'!$H$4:$H$103,"Да")&gt;0,"Да","Нет"))</f>
        <v>Нет</v>
      </c>
      <c r="AM93" s="30">
        <f t="shared" si="40"/>
        <v>0</v>
      </c>
      <c r="AN93" s="30">
        <f t="shared" si="41"/>
        <v>0</v>
      </c>
      <c r="AO93" s="29">
        <f t="shared" si="42"/>
        <v>0</v>
      </c>
      <c r="AP93" s="29">
        <f t="shared" si="43"/>
        <v>0</v>
      </c>
      <c r="AQ93" s="29">
        <f t="shared" si="44"/>
        <v>0</v>
      </c>
      <c r="AR93" s="29">
        <f>IFERROR(E93*'03_Настройки'!$B$4/365*(IF(T93&gt;0,T93*V93*(1+W93)*MAX(0,N93-U93),0)+IF(X93&gt;0,X93*Z93*(1+AA93)*MAX(0,N93-Y93),0)+IF(AB93&gt;0,AB93*AD93*(1+AE93)*MAX(0,N93-AC93),0)),0)</f>
        <v>0</v>
      </c>
      <c r="AS93" s="29">
        <f t="shared" si="45"/>
        <v>0</v>
      </c>
      <c r="AT93" s="31">
        <f t="shared" si="46"/>
        <v>0</v>
      </c>
      <c r="AU93" s="31">
        <f t="shared" si="47"/>
        <v>0</v>
      </c>
      <c r="AV93" s="32">
        <f t="shared" si="48"/>
        <v>0</v>
      </c>
      <c r="AW93" s="29" t="e">
        <f t="shared" si="49"/>
        <v>#VALUE!</v>
      </c>
      <c r="AX93" s="29">
        <f t="shared" si="50"/>
        <v>0</v>
      </c>
      <c r="AY93" s="29" t="e">
        <f t="shared" si="51"/>
        <v>#VALUE!</v>
      </c>
      <c r="AZ93" s="25" t="str">
        <f>IF(AND(A93&lt;&gt;"",B93&lt;&gt;"",C93&lt;&gt;"",D93&gt;0,E93&gt;0,N93&lt;&gt;"",AH93&gt;0,O93="Да",P93="Да",BZ93="ПОЛНО",ABS(AN93-1)&lt;='03_Настройки'!$B$5,IF(T93&gt;0,AND(U93&lt;&gt;"",V93&gt;0),TRUE()),IF(X93&gt;0,AND(Y93&lt;&gt;"",Z93&gt;0),TRUE()),IF(AB93&gt;0,AND(AC93&lt;&gt;"",AD93&gt;0),TRUE()),OR(BM93="",BM93="Активна")),"Да","Нет")</f>
        <v>Нет</v>
      </c>
      <c r="BA93" s="25" t="str">
        <f t="shared" si="52"/>
        <v>Нет</v>
      </c>
      <c r="BB93" s="25" t="str">
        <f t="shared" si="53"/>
        <v/>
      </c>
      <c r="BC93" s="25" t="str">
        <f t="shared" si="54"/>
        <v/>
      </c>
      <c r="BD93" s="25" t="str">
        <f t="shared" si="55"/>
        <v/>
      </c>
      <c r="BE93" s="25" t="str">
        <f>IF(A93="","",IF(BZ93&lt;&gt;"ПОЛНО","BLOCK: неполная форма",IF(O93&lt;&gt;"Да","BLOCK: ввоз не разрешён",IF(P93&lt;&gt;"Да","BLOCK: документы не подтверждены",IF(ABS(AN93-1)&gt;'03_Настройки'!$B$5,"BLOCK: платежи не 100%",IF(AND(BM93&lt;&gt;"",BM93&lt;&gt;"Активна"),"BLOCK: позиция "&amp;BM93,IF(BA93&lt;&gt;"Да","PARTIAL: не покрывает потребность",IF(BB93="ДА","самый дешёвый"&amp;IF(BC93="ДА"," + быстрый","")&amp;IF(BD93="ДА"," + optimal",""),IF(BC93="ДА","самый быстрый"&amp;IF(BD93="ДА"," + optimal",""),IF(BD93="ДА","optimal","Допущен"))))))))))</f>
        <v/>
      </c>
      <c r="BF93" s="25">
        <f>ROW()</f>
        <v>93</v>
      </c>
      <c r="BG93" s="33"/>
      <c r="BH93" s="33"/>
      <c r="BI93" s="33"/>
      <c r="BJ93" s="33"/>
      <c r="BK93" s="33"/>
      <c r="BL93" s="34"/>
      <c r="BM93" s="33"/>
      <c r="BN93" s="35" t="str">
        <f t="shared" si="56"/>
        <v/>
      </c>
      <c r="BO93" s="36" t="str">
        <f t="shared" si="57"/>
        <v/>
      </c>
      <c r="BP93" s="33"/>
      <c r="BQ93" s="38"/>
      <c r="BR93" s="13"/>
      <c r="BS93" s="13"/>
      <c r="BT93" s="13"/>
      <c r="BU93" s="13"/>
      <c r="BV93" s="13"/>
      <c r="BW93" s="13"/>
      <c r="BX93" s="39" t="str">
        <f t="shared" si="58"/>
        <v/>
      </c>
      <c r="BY93" s="47"/>
      <c r="BZ93" s="48" t="str">
        <f t="shared" si="59"/>
        <v/>
      </c>
      <c r="CA93" s="47"/>
      <c r="CB93" s="47"/>
      <c r="CC93" s="47"/>
    </row>
    <row r="94" spans="1:81" ht="14.25" x14ac:dyDescent="0.45">
      <c r="A94" s="10"/>
      <c r="B94" s="10"/>
      <c r="C94" s="10"/>
      <c r="D94" s="10"/>
      <c r="E94" s="10"/>
      <c r="F94" s="10"/>
      <c r="G94" s="10"/>
      <c r="H94" s="25" t="str">
        <f>IFERROR(VLOOKUP(C94,'01_Поставщики'!$A$4:$M$11,2,FALSE()),"")</f>
        <v/>
      </c>
      <c r="I94" s="10"/>
      <c r="J94" s="25" t="str">
        <f>IFERROR(VLOOKUP(C94,'01_Поставщики'!$A$4:$M$11,8,FALSE()),"")</f>
        <v/>
      </c>
      <c r="K94" s="25" t="str">
        <f>IFERROR(VLOOKUP(C94,'01_Поставщики'!$A$4:$M$11,4,FALSE()),"")</f>
        <v/>
      </c>
      <c r="L94" s="25" t="str">
        <f>IFERROR(VLOOKUP(C94,'01_Поставщики'!$A$4:$M$11,10,FALSE()),"")</f>
        <v/>
      </c>
      <c r="M94" s="26" t="str">
        <f>IF(OR(A94="",B94=""),"",IFERROR(SUMIFS('04_Потребность'!$B$4:$B$103,'04_Потребность'!$A$4:$A$103,A94,'04_Потребность'!$C$4:$C$103,B94),0))</f>
        <v/>
      </c>
      <c r="N94" s="11"/>
      <c r="O94" s="10"/>
      <c r="P94" s="10"/>
      <c r="Q94" s="27"/>
      <c r="R94" s="27"/>
      <c r="S94" s="8"/>
      <c r="T94" s="8">
        <f>IFERROR(INDEX('02_Схемы оплаты'!$C$4:$C$19,MATCH($C94&amp;"|"&amp;$G94,'02_Схемы оплаты'!$H$4:$H$19,0)),0)</f>
        <v>0</v>
      </c>
      <c r="U94" s="11"/>
      <c r="V94" s="28"/>
      <c r="W94" s="8"/>
      <c r="X94" s="8">
        <f>IFERROR(INDEX('02_Схемы оплаты'!$D$4:$D$19,MATCH($C94&amp;"|"&amp;$G94,'02_Схемы оплаты'!$H$4:$H$19,0)),0)</f>
        <v>0</v>
      </c>
      <c r="Y94" s="11"/>
      <c r="Z94" s="28"/>
      <c r="AA94" s="8"/>
      <c r="AB94" s="8">
        <f>IFERROR(INDEX('02_Схемы оплаты'!$E$4:$E$19,MATCH($C94&amp;"|"&amp;$G94,'02_Схемы оплаты'!$H$4:$H$19,0)),0)</f>
        <v>0</v>
      </c>
      <c r="AC94" s="11"/>
      <c r="AD94" s="28"/>
      <c r="AE94" s="8"/>
      <c r="AF94" s="10"/>
      <c r="AG94" s="10"/>
      <c r="AH94" s="25">
        <f>IFERROR(SUMIFS('04_Потребность'!$D$4:$D$103,'04_Потребность'!$A$4:$A$103,A94,'04_Потребность'!$C$4:$C$103,B94),0)</f>
        <v>0</v>
      </c>
      <c r="AI94" s="26" t="str">
        <f>IF(OR(A94="",B94=""),"",IFERROR(SUMIFS('04_Потребность'!$E$4:$E$103,'04_Потребность'!$A$4:$A$103,A94,'04_Потребность'!$C$4:$C$103,B94),0))</f>
        <v/>
      </c>
      <c r="AJ94" s="25" t="str">
        <f>IF(OR(A94="",B94=""),"",IFERROR(SUMIFS('04_Потребность'!$F$4:$F$103,'04_Потребность'!$A$4:$A$103,A94,'04_Потребность'!$C$4:$C$103,B94),0))</f>
        <v/>
      </c>
      <c r="AK94" s="29" t="str">
        <f>IF(OR(A94="",B94=""),"",IFERROR(SUMIFS('04_Потребность'!$G$4:$G$103,'04_Потребность'!$A$4:$A$103,A94,'04_Потребность'!$C$4:$C$103,B94),0))</f>
        <v/>
      </c>
      <c r="AL94" s="25" t="str">
        <f>IF('03_Настройки'!$B$7="Нет","Нет",IF(COUNTIFS('04_Потребность'!$A$4:$A$103,A94,'04_Потребность'!$C$4:$C$103,B94,'04_Потребность'!$H$4:$H$103,"Да")&gt;0,"Да","Нет"))</f>
        <v>Нет</v>
      </c>
      <c r="AM94" s="30">
        <f t="shared" si="40"/>
        <v>0</v>
      </c>
      <c r="AN94" s="30">
        <f t="shared" si="41"/>
        <v>0</v>
      </c>
      <c r="AO94" s="29">
        <f t="shared" si="42"/>
        <v>0</v>
      </c>
      <c r="AP94" s="29">
        <f t="shared" si="43"/>
        <v>0</v>
      </c>
      <c r="AQ94" s="29">
        <f t="shared" si="44"/>
        <v>0</v>
      </c>
      <c r="AR94" s="29">
        <f>IFERROR(E94*'03_Настройки'!$B$4/365*(IF(T94&gt;0,T94*V94*(1+W94)*MAX(0,N94-U94),0)+IF(X94&gt;0,X94*Z94*(1+AA94)*MAX(0,N94-Y94),0)+IF(AB94&gt;0,AB94*AD94*(1+AE94)*MAX(0,N94-AC94),0)),0)</f>
        <v>0</v>
      </c>
      <c r="AS94" s="29">
        <f t="shared" si="45"/>
        <v>0</v>
      </c>
      <c r="AT94" s="31">
        <f t="shared" si="46"/>
        <v>0</v>
      </c>
      <c r="AU94" s="31">
        <f t="shared" si="47"/>
        <v>0</v>
      </c>
      <c r="AV94" s="32">
        <f t="shared" si="48"/>
        <v>0</v>
      </c>
      <c r="AW94" s="29" t="e">
        <f t="shared" si="49"/>
        <v>#VALUE!</v>
      </c>
      <c r="AX94" s="29">
        <f t="shared" si="50"/>
        <v>0</v>
      </c>
      <c r="AY94" s="29" t="e">
        <f t="shared" si="51"/>
        <v>#VALUE!</v>
      </c>
      <c r="AZ94" s="25" t="str">
        <f>IF(AND(A94&lt;&gt;"",B94&lt;&gt;"",C94&lt;&gt;"",D94&gt;0,E94&gt;0,N94&lt;&gt;"",AH94&gt;0,O94="Да",P94="Да",BZ94="ПОЛНО",ABS(AN94-1)&lt;='03_Настройки'!$B$5,IF(T94&gt;0,AND(U94&lt;&gt;"",V94&gt;0),TRUE()),IF(X94&gt;0,AND(Y94&lt;&gt;"",Z94&gt;0),TRUE()),IF(AB94&gt;0,AND(AC94&lt;&gt;"",AD94&gt;0),TRUE()),OR(BM94="",BM94="Активна")),"Да","Нет")</f>
        <v>Нет</v>
      </c>
      <c r="BA94" s="25" t="str">
        <f t="shared" si="52"/>
        <v>Нет</v>
      </c>
      <c r="BB94" s="25" t="str">
        <f t="shared" si="53"/>
        <v/>
      </c>
      <c r="BC94" s="25" t="str">
        <f t="shared" si="54"/>
        <v/>
      </c>
      <c r="BD94" s="25" t="str">
        <f t="shared" si="55"/>
        <v/>
      </c>
      <c r="BE94" s="25" t="str">
        <f>IF(A94="","",IF(BZ94&lt;&gt;"ПОЛНО","BLOCK: неполная форма",IF(O94&lt;&gt;"Да","BLOCK: ввоз не разрешён",IF(P94&lt;&gt;"Да","BLOCK: документы не подтверждены",IF(ABS(AN94-1)&gt;'03_Настройки'!$B$5,"BLOCK: платежи не 100%",IF(AND(BM94&lt;&gt;"",BM94&lt;&gt;"Активна"),"BLOCK: позиция "&amp;BM94,IF(BA94&lt;&gt;"Да","PARTIAL: не покрывает потребность",IF(BB94="ДА","самый дешёвый"&amp;IF(BC94="ДА"," + быстрый","")&amp;IF(BD94="ДА"," + optimal",""),IF(BC94="ДА","самый быстрый"&amp;IF(BD94="ДА"," + optimal",""),IF(BD94="ДА","optimal","Допущен"))))))))))</f>
        <v/>
      </c>
      <c r="BF94" s="25">
        <f>ROW()</f>
        <v>94</v>
      </c>
      <c r="BG94" s="33"/>
      <c r="BH94" s="33"/>
      <c r="BI94" s="33"/>
      <c r="BJ94" s="33"/>
      <c r="BK94" s="33"/>
      <c r="BL94" s="34"/>
      <c r="BM94" s="33"/>
      <c r="BN94" s="35" t="str">
        <f t="shared" si="56"/>
        <v/>
      </c>
      <c r="BO94" s="36" t="str">
        <f t="shared" si="57"/>
        <v/>
      </c>
      <c r="BP94" s="33"/>
      <c r="BQ94" s="38"/>
      <c r="BR94" s="13"/>
      <c r="BS94" s="13"/>
      <c r="BT94" s="13"/>
      <c r="BU94" s="13"/>
      <c r="BV94" s="13"/>
      <c r="BW94" s="13"/>
      <c r="BX94" s="39" t="str">
        <f t="shared" si="58"/>
        <v/>
      </c>
      <c r="BY94" s="47"/>
      <c r="BZ94" s="48" t="str">
        <f t="shared" si="59"/>
        <v/>
      </c>
      <c r="CA94" s="47"/>
      <c r="CB94" s="47"/>
      <c r="CC94" s="47"/>
    </row>
    <row r="95" spans="1:81" ht="14.25" x14ac:dyDescent="0.45">
      <c r="A95" s="10"/>
      <c r="B95" s="10"/>
      <c r="C95" s="10"/>
      <c r="D95" s="10"/>
      <c r="E95" s="10"/>
      <c r="F95" s="10"/>
      <c r="G95" s="10"/>
      <c r="H95" s="25" t="str">
        <f>IFERROR(VLOOKUP(C95,'01_Поставщики'!$A$4:$M$11,2,FALSE()),"")</f>
        <v/>
      </c>
      <c r="I95" s="10"/>
      <c r="J95" s="25" t="str">
        <f>IFERROR(VLOOKUP(C95,'01_Поставщики'!$A$4:$M$11,8,FALSE()),"")</f>
        <v/>
      </c>
      <c r="K95" s="25" t="str">
        <f>IFERROR(VLOOKUP(C95,'01_Поставщики'!$A$4:$M$11,4,FALSE()),"")</f>
        <v/>
      </c>
      <c r="L95" s="25" t="str">
        <f>IFERROR(VLOOKUP(C95,'01_Поставщики'!$A$4:$M$11,10,FALSE()),"")</f>
        <v/>
      </c>
      <c r="M95" s="26" t="str">
        <f>IF(OR(A95="",B95=""),"",IFERROR(SUMIFS('04_Потребность'!$B$4:$B$103,'04_Потребность'!$A$4:$A$103,A95,'04_Потребность'!$C$4:$C$103,B95),0))</f>
        <v/>
      </c>
      <c r="N95" s="11"/>
      <c r="O95" s="10"/>
      <c r="P95" s="10"/>
      <c r="Q95" s="27"/>
      <c r="R95" s="27"/>
      <c r="S95" s="8"/>
      <c r="T95" s="8">
        <f>IFERROR(INDEX('02_Схемы оплаты'!$C$4:$C$19,MATCH($C95&amp;"|"&amp;$G95,'02_Схемы оплаты'!$H$4:$H$19,0)),0)</f>
        <v>0</v>
      </c>
      <c r="U95" s="11"/>
      <c r="V95" s="28"/>
      <c r="W95" s="8"/>
      <c r="X95" s="8">
        <f>IFERROR(INDEX('02_Схемы оплаты'!$D$4:$D$19,MATCH($C95&amp;"|"&amp;$G95,'02_Схемы оплаты'!$H$4:$H$19,0)),0)</f>
        <v>0</v>
      </c>
      <c r="Y95" s="11"/>
      <c r="Z95" s="28"/>
      <c r="AA95" s="8"/>
      <c r="AB95" s="8">
        <f>IFERROR(INDEX('02_Схемы оплаты'!$E$4:$E$19,MATCH($C95&amp;"|"&amp;$G95,'02_Схемы оплаты'!$H$4:$H$19,0)),0)</f>
        <v>0</v>
      </c>
      <c r="AC95" s="11"/>
      <c r="AD95" s="28"/>
      <c r="AE95" s="8"/>
      <c r="AF95" s="10"/>
      <c r="AG95" s="10"/>
      <c r="AH95" s="25">
        <f>IFERROR(SUMIFS('04_Потребность'!$D$4:$D$103,'04_Потребность'!$A$4:$A$103,A95,'04_Потребность'!$C$4:$C$103,B95),0)</f>
        <v>0</v>
      </c>
      <c r="AI95" s="26" t="str">
        <f>IF(OR(A95="",B95=""),"",IFERROR(SUMIFS('04_Потребность'!$E$4:$E$103,'04_Потребность'!$A$4:$A$103,A95,'04_Потребность'!$C$4:$C$103,B95),0))</f>
        <v/>
      </c>
      <c r="AJ95" s="25" t="str">
        <f>IF(OR(A95="",B95=""),"",IFERROR(SUMIFS('04_Потребность'!$F$4:$F$103,'04_Потребность'!$A$4:$A$103,A95,'04_Потребность'!$C$4:$C$103,B95),0))</f>
        <v/>
      </c>
      <c r="AK95" s="29" t="str">
        <f>IF(OR(A95="",B95=""),"",IFERROR(SUMIFS('04_Потребность'!$G$4:$G$103,'04_Потребность'!$A$4:$A$103,A95,'04_Потребность'!$C$4:$C$103,B95),0))</f>
        <v/>
      </c>
      <c r="AL95" s="25" t="str">
        <f>IF('03_Настройки'!$B$7="Нет","Нет",IF(COUNTIFS('04_Потребность'!$A$4:$A$103,A95,'04_Потребность'!$C$4:$C$103,B95,'04_Потребность'!$H$4:$H$103,"Да")&gt;0,"Да","Нет"))</f>
        <v>Нет</v>
      </c>
      <c r="AM95" s="30">
        <f t="shared" si="40"/>
        <v>0</v>
      </c>
      <c r="AN95" s="30">
        <f t="shared" si="41"/>
        <v>0</v>
      </c>
      <c r="AO95" s="29">
        <f t="shared" si="42"/>
        <v>0</v>
      </c>
      <c r="AP95" s="29">
        <f t="shared" si="43"/>
        <v>0</v>
      </c>
      <c r="AQ95" s="29">
        <f t="shared" si="44"/>
        <v>0</v>
      </c>
      <c r="AR95" s="29">
        <f>IFERROR(E95*'03_Настройки'!$B$4/365*(IF(T95&gt;0,T95*V95*(1+W95)*MAX(0,N95-U95),0)+IF(X95&gt;0,X95*Z95*(1+AA95)*MAX(0,N95-Y95),0)+IF(AB95&gt;0,AB95*AD95*(1+AE95)*MAX(0,N95-AC95),0)),0)</f>
        <v>0</v>
      </c>
      <c r="AS95" s="29">
        <f t="shared" si="45"/>
        <v>0</v>
      </c>
      <c r="AT95" s="31">
        <f t="shared" si="46"/>
        <v>0</v>
      </c>
      <c r="AU95" s="31">
        <f t="shared" si="47"/>
        <v>0</v>
      </c>
      <c r="AV95" s="32">
        <f t="shared" si="48"/>
        <v>0</v>
      </c>
      <c r="AW95" s="29" t="e">
        <f t="shared" si="49"/>
        <v>#VALUE!</v>
      </c>
      <c r="AX95" s="29">
        <f t="shared" si="50"/>
        <v>0</v>
      </c>
      <c r="AY95" s="29" t="e">
        <f t="shared" si="51"/>
        <v>#VALUE!</v>
      </c>
      <c r="AZ95" s="25" t="str">
        <f>IF(AND(A95&lt;&gt;"",B95&lt;&gt;"",C95&lt;&gt;"",D95&gt;0,E95&gt;0,N95&lt;&gt;"",AH95&gt;0,O95="Да",P95="Да",BZ95="ПОЛНО",ABS(AN95-1)&lt;='03_Настройки'!$B$5,IF(T95&gt;0,AND(U95&lt;&gt;"",V95&gt;0),TRUE()),IF(X95&gt;0,AND(Y95&lt;&gt;"",Z95&gt;0),TRUE()),IF(AB95&gt;0,AND(AC95&lt;&gt;"",AD95&gt;0),TRUE()),OR(BM95="",BM95="Активна")),"Да","Нет")</f>
        <v>Нет</v>
      </c>
      <c r="BA95" s="25" t="str">
        <f t="shared" si="52"/>
        <v>Нет</v>
      </c>
      <c r="BB95" s="25" t="str">
        <f t="shared" si="53"/>
        <v/>
      </c>
      <c r="BC95" s="25" t="str">
        <f t="shared" si="54"/>
        <v/>
      </c>
      <c r="BD95" s="25" t="str">
        <f t="shared" si="55"/>
        <v/>
      </c>
      <c r="BE95" s="25" t="str">
        <f>IF(A95="","",IF(BZ95&lt;&gt;"ПОЛНО","BLOCK: неполная форма",IF(O95&lt;&gt;"Да","BLOCK: ввоз не разрешён",IF(P95&lt;&gt;"Да","BLOCK: документы не подтверждены",IF(ABS(AN95-1)&gt;'03_Настройки'!$B$5,"BLOCK: платежи не 100%",IF(AND(BM95&lt;&gt;"",BM95&lt;&gt;"Активна"),"BLOCK: позиция "&amp;BM95,IF(BA95&lt;&gt;"Да","PARTIAL: не покрывает потребность",IF(BB95="ДА","самый дешёвый"&amp;IF(BC95="ДА"," + быстрый","")&amp;IF(BD95="ДА"," + optimal",""),IF(BC95="ДА","самый быстрый"&amp;IF(BD95="ДА"," + optimal",""),IF(BD95="ДА","optimal","Допущен"))))))))))</f>
        <v/>
      </c>
      <c r="BF95" s="25">
        <f>ROW()</f>
        <v>95</v>
      </c>
      <c r="BG95" s="33"/>
      <c r="BH95" s="33"/>
      <c r="BI95" s="33"/>
      <c r="BJ95" s="33"/>
      <c r="BK95" s="33"/>
      <c r="BL95" s="34"/>
      <c r="BM95" s="33"/>
      <c r="BN95" s="35" t="str">
        <f t="shared" si="56"/>
        <v/>
      </c>
      <c r="BO95" s="36" t="str">
        <f t="shared" si="57"/>
        <v/>
      </c>
      <c r="BP95" s="33"/>
      <c r="BQ95" s="38"/>
      <c r="BR95" s="13"/>
      <c r="BS95" s="13"/>
      <c r="BT95" s="13"/>
      <c r="BU95" s="13"/>
      <c r="BV95" s="13"/>
      <c r="BW95" s="13"/>
      <c r="BX95" s="39" t="str">
        <f t="shared" si="58"/>
        <v/>
      </c>
      <c r="BY95" s="47"/>
      <c r="BZ95" s="48" t="str">
        <f t="shared" si="59"/>
        <v/>
      </c>
      <c r="CA95" s="47"/>
      <c r="CB95" s="47"/>
      <c r="CC95" s="47"/>
    </row>
    <row r="96" spans="1:81" ht="14.25" x14ac:dyDescent="0.45">
      <c r="A96" s="10"/>
      <c r="B96" s="10"/>
      <c r="C96" s="10"/>
      <c r="D96" s="10"/>
      <c r="E96" s="10"/>
      <c r="F96" s="10"/>
      <c r="G96" s="10"/>
      <c r="H96" s="25" t="str">
        <f>IFERROR(VLOOKUP(C96,'01_Поставщики'!$A$4:$M$11,2,FALSE()),"")</f>
        <v/>
      </c>
      <c r="I96" s="10"/>
      <c r="J96" s="25" t="str">
        <f>IFERROR(VLOOKUP(C96,'01_Поставщики'!$A$4:$M$11,8,FALSE()),"")</f>
        <v/>
      </c>
      <c r="K96" s="25" t="str">
        <f>IFERROR(VLOOKUP(C96,'01_Поставщики'!$A$4:$M$11,4,FALSE()),"")</f>
        <v/>
      </c>
      <c r="L96" s="25" t="str">
        <f>IFERROR(VLOOKUP(C96,'01_Поставщики'!$A$4:$M$11,10,FALSE()),"")</f>
        <v/>
      </c>
      <c r="M96" s="26" t="str">
        <f>IF(OR(A96="",B96=""),"",IFERROR(SUMIFS('04_Потребность'!$B$4:$B$103,'04_Потребность'!$A$4:$A$103,A96,'04_Потребность'!$C$4:$C$103,B96),0))</f>
        <v/>
      </c>
      <c r="N96" s="11"/>
      <c r="O96" s="10"/>
      <c r="P96" s="10"/>
      <c r="Q96" s="27"/>
      <c r="R96" s="27"/>
      <c r="S96" s="8"/>
      <c r="T96" s="8">
        <f>IFERROR(INDEX('02_Схемы оплаты'!$C$4:$C$19,MATCH($C96&amp;"|"&amp;$G96,'02_Схемы оплаты'!$H$4:$H$19,0)),0)</f>
        <v>0</v>
      </c>
      <c r="U96" s="11"/>
      <c r="V96" s="28"/>
      <c r="W96" s="8"/>
      <c r="X96" s="8">
        <f>IFERROR(INDEX('02_Схемы оплаты'!$D$4:$D$19,MATCH($C96&amp;"|"&amp;$G96,'02_Схемы оплаты'!$H$4:$H$19,0)),0)</f>
        <v>0</v>
      </c>
      <c r="Y96" s="11"/>
      <c r="Z96" s="28"/>
      <c r="AA96" s="8"/>
      <c r="AB96" s="8">
        <f>IFERROR(INDEX('02_Схемы оплаты'!$E$4:$E$19,MATCH($C96&amp;"|"&amp;$G96,'02_Схемы оплаты'!$H$4:$H$19,0)),0)</f>
        <v>0</v>
      </c>
      <c r="AC96" s="11"/>
      <c r="AD96" s="28"/>
      <c r="AE96" s="8"/>
      <c r="AF96" s="10"/>
      <c r="AG96" s="10"/>
      <c r="AH96" s="25">
        <f>IFERROR(SUMIFS('04_Потребность'!$D$4:$D$103,'04_Потребность'!$A$4:$A$103,A96,'04_Потребность'!$C$4:$C$103,B96),0)</f>
        <v>0</v>
      </c>
      <c r="AI96" s="26" t="str">
        <f>IF(OR(A96="",B96=""),"",IFERROR(SUMIFS('04_Потребность'!$E$4:$E$103,'04_Потребность'!$A$4:$A$103,A96,'04_Потребность'!$C$4:$C$103,B96),0))</f>
        <v/>
      </c>
      <c r="AJ96" s="25" t="str">
        <f>IF(OR(A96="",B96=""),"",IFERROR(SUMIFS('04_Потребность'!$F$4:$F$103,'04_Потребность'!$A$4:$A$103,A96,'04_Потребность'!$C$4:$C$103,B96),0))</f>
        <v/>
      </c>
      <c r="AK96" s="29" t="str">
        <f>IF(OR(A96="",B96=""),"",IFERROR(SUMIFS('04_Потребность'!$G$4:$G$103,'04_Потребность'!$A$4:$A$103,A96,'04_Потребность'!$C$4:$C$103,B96),0))</f>
        <v/>
      </c>
      <c r="AL96" s="25" t="str">
        <f>IF('03_Настройки'!$B$7="Нет","Нет",IF(COUNTIFS('04_Потребность'!$A$4:$A$103,A96,'04_Потребность'!$C$4:$C$103,B96,'04_Потребность'!$H$4:$H$103,"Да")&gt;0,"Да","Нет"))</f>
        <v>Нет</v>
      </c>
      <c r="AM96" s="30">
        <f t="shared" si="40"/>
        <v>0</v>
      </c>
      <c r="AN96" s="30">
        <f t="shared" si="41"/>
        <v>0</v>
      </c>
      <c r="AO96" s="29">
        <f t="shared" si="42"/>
        <v>0</v>
      </c>
      <c r="AP96" s="29">
        <f t="shared" si="43"/>
        <v>0</v>
      </c>
      <c r="AQ96" s="29">
        <f t="shared" si="44"/>
        <v>0</v>
      </c>
      <c r="AR96" s="29">
        <f>IFERROR(E96*'03_Настройки'!$B$4/365*(IF(T96&gt;0,T96*V96*(1+W96)*MAX(0,N96-U96),0)+IF(X96&gt;0,X96*Z96*(1+AA96)*MAX(0,N96-Y96),0)+IF(AB96&gt;0,AB96*AD96*(1+AE96)*MAX(0,N96-AC96),0)),0)</f>
        <v>0</v>
      </c>
      <c r="AS96" s="29">
        <f t="shared" si="45"/>
        <v>0</v>
      </c>
      <c r="AT96" s="31">
        <f t="shared" si="46"/>
        <v>0</v>
      </c>
      <c r="AU96" s="31">
        <f t="shared" si="47"/>
        <v>0</v>
      </c>
      <c r="AV96" s="32">
        <f t="shared" si="48"/>
        <v>0</v>
      </c>
      <c r="AW96" s="29" t="e">
        <f t="shared" si="49"/>
        <v>#VALUE!</v>
      </c>
      <c r="AX96" s="29">
        <f t="shared" si="50"/>
        <v>0</v>
      </c>
      <c r="AY96" s="29" t="e">
        <f t="shared" si="51"/>
        <v>#VALUE!</v>
      </c>
      <c r="AZ96" s="25" t="str">
        <f>IF(AND(A96&lt;&gt;"",B96&lt;&gt;"",C96&lt;&gt;"",D96&gt;0,E96&gt;0,N96&lt;&gt;"",AH96&gt;0,O96="Да",P96="Да",BZ96="ПОЛНО",ABS(AN96-1)&lt;='03_Настройки'!$B$5,IF(T96&gt;0,AND(U96&lt;&gt;"",V96&gt;0),TRUE()),IF(X96&gt;0,AND(Y96&lt;&gt;"",Z96&gt;0),TRUE()),IF(AB96&gt;0,AND(AC96&lt;&gt;"",AD96&gt;0),TRUE()),OR(BM96="",BM96="Активна")),"Да","Нет")</f>
        <v>Нет</v>
      </c>
      <c r="BA96" s="25" t="str">
        <f t="shared" si="52"/>
        <v>Нет</v>
      </c>
      <c r="BB96" s="25" t="str">
        <f t="shared" si="53"/>
        <v/>
      </c>
      <c r="BC96" s="25" t="str">
        <f t="shared" si="54"/>
        <v/>
      </c>
      <c r="BD96" s="25" t="str">
        <f t="shared" si="55"/>
        <v/>
      </c>
      <c r="BE96" s="25" t="str">
        <f>IF(A96="","",IF(BZ96&lt;&gt;"ПОЛНО","BLOCK: неполная форма",IF(O96&lt;&gt;"Да","BLOCK: ввоз не разрешён",IF(P96&lt;&gt;"Да","BLOCK: документы не подтверждены",IF(ABS(AN96-1)&gt;'03_Настройки'!$B$5,"BLOCK: платежи не 100%",IF(AND(BM96&lt;&gt;"",BM96&lt;&gt;"Активна"),"BLOCK: позиция "&amp;BM96,IF(BA96&lt;&gt;"Да","PARTIAL: не покрывает потребность",IF(BB96="ДА","самый дешёвый"&amp;IF(BC96="ДА"," + быстрый","")&amp;IF(BD96="ДА"," + optimal",""),IF(BC96="ДА","самый быстрый"&amp;IF(BD96="ДА"," + optimal",""),IF(BD96="ДА","optimal","Допущен"))))))))))</f>
        <v/>
      </c>
      <c r="BF96" s="25">
        <f>ROW()</f>
        <v>96</v>
      </c>
      <c r="BG96" s="33"/>
      <c r="BH96" s="33"/>
      <c r="BI96" s="33"/>
      <c r="BJ96" s="33"/>
      <c r="BK96" s="33"/>
      <c r="BL96" s="34"/>
      <c r="BM96" s="33"/>
      <c r="BN96" s="35" t="str">
        <f t="shared" si="56"/>
        <v/>
      </c>
      <c r="BO96" s="36" t="str">
        <f t="shared" si="57"/>
        <v/>
      </c>
      <c r="BP96" s="33"/>
      <c r="BQ96" s="38"/>
      <c r="BR96" s="13"/>
      <c r="BS96" s="13"/>
      <c r="BT96" s="13"/>
      <c r="BU96" s="13"/>
      <c r="BV96" s="13"/>
      <c r="BW96" s="13"/>
      <c r="BX96" s="39" t="str">
        <f t="shared" si="58"/>
        <v/>
      </c>
      <c r="BY96" s="47"/>
      <c r="BZ96" s="48" t="str">
        <f t="shared" si="59"/>
        <v/>
      </c>
      <c r="CA96" s="47"/>
      <c r="CB96" s="47"/>
      <c r="CC96" s="47"/>
    </row>
    <row r="97" spans="1:81" ht="14.25" x14ac:dyDescent="0.45">
      <c r="A97" s="10"/>
      <c r="B97" s="10"/>
      <c r="C97" s="10"/>
      <c r="D97" s="10"/>
      <c r="E97" s="10"/>
      <c r="F97" s="10"/>
      <c r="G97" s="10"/>
      <c r="H97" s="25" t="str">
        <f>IFERROR(VLOOKUP(C97,'01_Поставщики'!$A$4:$M$11,2,FALSE()),"")</f>
        <v/>
      </c>
      <c r="I97" s="10"/>
      <c r="J97" s="25" t="str">
        <f>IFERROR(VLOOKUP(C97,'01_Поставщики'!$A$4:$M$11,8,FALSE()),"")</f>
        <v/>
      </c>
      <c r="K97" s="25" t="str">
        <f>IFERROR(VLOOKUP(C97,'01_Поставщики'!$A$4:$M$11,4,FALSE()),"")</f>
        <v/>
      </c>
      <c r="L97" s="25" t="str">
        <f>IFERROR(VLOOKUP(C97,'01_Поставщики'!$A$4:$M$11,10,FALSE()),"")</f>
        <v/>
      </c>
      <c r="M97" s="26" t="str">
        <f>IF(OR(A97="",B97=""),"",IFERROR(SUMIFS('04_Потребность'!$B$4:$B$103,'04_Потребность'!$A$4:$A$103,A97,'04_Потребность'!$C$4:$C$103,B97),0))</f>
        <v/>
      </c>
      <c r="N97" s="11"/>
      <c r="O97" s="10"/>
      <c r="P97" s="10"/>
      <c r="Q97" s="27"/>
      <c r="R97" s="27"/>
      <c r="S97" s="8"/>
      <c r="T97" s="8">
        <f>IFERROR(INDEX('02_Схемы оплаты'!$C$4:$C$19,MATCH($C97&amp;"|"&amp;$G97,'02_Схемы оплаты'!$H$4:$H$19,0)),0)</f>
        <v>0</v>
      </c>
      <c r="U97" s="11"/>
      <c r="V97" s="28"/>
      <c r="W97" s="8"/>
      <c r="X97" s="8">
        <f>IFERROR(INDEX('02_Схемы оплаты'!$D$4:$D$19,MATCH($C97&amp;"|"&amp;$G97,'02_Схемы оплаты'!$H$4:$H$19,0)),0)</f>
        <v>0</v>
      </c>
      <c r="Y97" s="11"/>
      <c r="Z97" s="28"/>
      <c r="AA97" s="8"/>
      <c r="AB97" s="8">
        <f>IFERROR(INDEX('02_Схемы оплаты'!$E$4:$E$19,MATCH($C97&amp;"|"&amp;$G97,'02_Схемы оплаты'!$H$4:$H$19,0)),0)</f>
        <v>0</v>
      </c>
      <c r="AC97" s="11"/>
      <c r="AD97" s="28"/>
      <c r="AE97" s="8"/>
      <c r="AF97" s="10"/>
      <c r="AG97" s="10"/>
      <c r="AH97" s="25">
        <f>IFERROR(SUMIFS('04_Потребность'!$D$4:$D$103,'04_Потребность'!$A$4:$A$103,A97,'04_Потребность'!$C$4:$C$103,B97),0)</f>
        <v>0</v>
      </c>
      <c r="AI97" s="26" t="str">
        <f>IF(OR(A97="",B97=""),"",IFERROR(SUMIFS('04_Потребность'!$E$4:$E$103,'04_Потребность'!$A$4:$A$103,A97,'04_Потребность'!$C$4:$C$103,B97),0))</f>
        <v/>
      </c>
      <c r="AJ97" s="25" t="str">
        <f>IF(OR(A97="",B97=""),"",IFERROR(SUMIFS('04_Потребность'!$F$4:$F$103,'04_Потребность'!$A$4:$A$103,A97,'04_Потребность'!$C$4:$C$103,B97),0))</f>
        <v/>
      </c>
      <c r="AK97" s="29" t="str">
        <f>IF(OR(A97="",B97=""),"",IFERROR(SUMIFS('04_Потребность'!$G$4:$G$103,'04_Потребность'!$A$4:$A$103,A97,'04_Потребность'!$C$4:$C$103,B97),0))</f>
        <v/>
      </c>
      <c r="AL97" s="25" t="str">
        <f>IF('03_Настройки'!$B$7="Нет","Нет",IF(COUNTIFS('04_Потребность'!$A$4:$A$103,A97,'04_Потребность'!$C$4:$C$103,B97,'04_Потребность'!$H$4:$H$103,"Да")&gt;0,"Да","Нет"))</f>
        <v>Нет</v>
      </c>
      <c r="AM97" s="30">
        <f t="shared" si="40"/>
        <v>0</v>
      </c>
      <c r="AN97" s="30">
        <f t="shared" si="41"/>
        <v>0</v>
      </c>
      <c r="AO97" s="29">
        <f t="shared" si="42"/>
        <v>0</v>
      </c>
      <c r="AP97" s="29">
        <f t="shared" si="43"/>
        <v>0</v>
      </c>
      <c r="AQ97" s="29">
        <f t="shared" si="44"/>
        <v>0</v>
      </c>
      <c r="AR97" s="29">
        <f>IFERROR(E97*'03_Настройки'!$B$4/365*(IF(T97&gt;0,T97*V97*(1+W97)*MAX(0,N97-U97),0)+IF(X97&gt;0,X97*Z97*(1+AA97)*MAX(0,N97-Y97),0)+IF(AB97&gt;0,AB97*AD97*(1+AE97)*MAX(0,N97-AC97),0)),0)</f>
        <v>0</v>
      </c>
      <c r="AS97" s="29">
        <f t="shared" si="45"/>
        <v>0</v>
      </c>
      <c r="AT97" s="31">
        <f t="shared" si="46"/>
        <v>0</v>
      </c>
      <c r="AU97" s="31">
        <f t="shared" si="47"/>
        <v>0</v>
      </c>
      <c r="AV97" s="32">
        <f t="shared" si="48"/>
        <v>0</v>
      </c>
      <c r="AW97" s="29" t="e">
        <f t="shared" si="49"/>
        <v>#VALUE!</v>
      </c>
      <c r="AX97" s="29">
        <f t="shared" si="50"/>
        <v>0</v>
      </c>
      <c r="AY97" s="29" t="e">
        <f t="shared" si="51"/>
        <v>#VALUE!</v>
      </c>
      <c r="AZ97" s="25" t="str">
        <f>IF(AND(A97&lt;&gt;"",B97&lt;&gt;"",C97&lt;&gt;"",D97&gt;0,E97&gt;0,N97&lt;&gt;"",AH97&gt;0,O97="Да",P97="Да",BZ97="ПОЛНО",ABS(AN97-1)&lt;='03_Настройки'!$B$5,IF(T97&gt;0,AND(U97&lt;&gt;"",V97&gt;0),TRUE()),IF(X97&gt;0,AND(Y97&lt;&gt;"",Z97&gt;0),TRUE()),IF(AB97&gt;0,AND(AC97&lt;&gt;"",AD97&gt;0),TRUE()),OR(BM97="",BM97="Активна")),"Да","Нет")</f>
        <v>Нет</v>
      </c>
      <c r="BA97" s="25" t="str">
        <f t="shared" si="52"/>
        <v>Нет</v>
      </c>
      <c r="BB97" s="25" t="str">
        <f t="shared" si="53"/>
        <v/>
      </c>
      <c r="BC97" s="25" t="str">
        <f t="shared" si="54"/>
        <v/>
      </c>
      <c r="BD97" s="25" t="str">
        <f t="shared" si="55"/>
        <v/>
      </c>
      <c r="BE97" s="25" t="str">
        <f>IF(A97="","",IF(BZ97&lt;&gt;"ПОЛНО","BLOCK: неполная форма",IF(O97&lt;&gt;"Да","BLOCK: ввоз не разрешён",IF(P97&lt;&gt;"Да","BLOCK: документы не подтверждены",IF(ABS(AN97-1)&gt;'03_Настройки'!$B$5,"BLOCK: платежи не 100%",IF(AND(BM97&lt;&gt;"",BM97&lt;&gt;"Активна"),"BLOCK: позиция "&amp;BM97,IF(BA97&lt;&gt;"Да","PARTIAL: не покрывает потребность",IF(BB97="ДА","самый дешёвый"&amp;IF(BC97="ДА"," + быстрый","")&amp;IF(BD97="ДА"," + optimal",""),IF(BC97="ДА","самый быстрый"&amp;IF(BD97="ДА"," + optimal",""),IF(BD97="ДА","optimal","Допущен"))))))))))</f>
        <v/>
      </c>
      <c r="BF97" s="25">
        <f>ROW()</f>
        <v>97</v>
      </c>
      <c r="BG97" s="33"/>
      <c r="BH97" s="33"/>
      <c r="BI97" s="33"/>
      <c r="BJ97" s="33"/>
      <c r="BK97" s="33"/>
      <c r="BL97" s="34"/>
      <c r="BM97" s="33"/>
      <c r="BN97" s="35" t="str">
        <f t="shared" si="56"/>
        <v/>
      </c>
      <c r="BO97" s="36" t="str">
        <f t="shared" si="57"/>
        <v/>
      </c>
      <c r="BP97" s="33"/>
      <c r="BQ97" s="38"/>
      <c r="BR97" s="13"/>
      <c r="BS97" s="13"/>
      <c r="BT97" s="13"/>
      <c r="BU97" s="13"/>
      <c r="BV97" s="13"/>
      <c r="BW97" s="13"/>
      <c r="BX97" s="39" t="str">
        <f t="shared" si="58"/>
        <v/>
      </c>
      <c r="BY97" s="47"/>
      <c r="BZ97" s="48" t="str">
        <f t="shared" si="59"/>
        <v/>
      </c>
      <c r="CA97" s="47"/>
      <c r="CB97" s="47"/>
      <c r="CC97" s="47"/>
    </row>
    <row r="98" spans="1:81" ht="14.25" x14ac:dyDescent="0.45">
      <c r="A98" s="10"/>
      <c r="B98" s="10"/>
      <c r="C98" s="10"/>
      <c r="D98" s="10"/>
      <c r="E98" s="10"/>
      <c r="F98" s="10"/>
      <c r="G98" s="10"/>
      <c r="H98" s="25" t="str">
        <f>IFERROR(VLOOKUP(C98,'01_Поставщики'!$A$4:$M$11,2,FALSE()),"")</f>
        <v/>
      </c>
      <c r="I98" s="10"/>
      <c r="J98" s="25" t="str">
        <f>IFERROR(VLOOKUP(C98,'01_Поставщики'!$A$4:$M$11,8,FALSE()),"")</f>
        <v/>
      </c>
      <c r="K98" s="25" t="str">
        <f>IFERROR(VLOOKUP(C98,'01_Поставщики'!$A$4:$M$11,4,FALSE()),"")</f>
        <v/>
      </c>
      <c r="L98" s="25" t="str">
        <f>IFERROR(VLOOKUP(C98,'01_Поставщики'!$A$4:$M$11,10,FALSE()),"")</f>
        <v/>
      </c>
      <c r="M98" s="26" t="str">
        <f>IF(OR(A98="",B98=""),"",IFERROR(SUMIFS('04_Потребность'!$B$4:$B$103,'04_Потребность'!$A$4:$A$103,A98,'04_Потребность'!$C$4:$C$103,B98),0))</f>
        <v/>
      </c>
      <c r="N98" s="11"/>
      <c r="O98" s="10"/>
      <c r="P98" s="10"/>
      <c r="Q98" s="27"/>
      <c r="R98" s="27"/>
      <c r="S98" s="8"/>
      <c r="T98" s="8">
        <f>IFERROR(INDEX('02_Схемы оплаты'!$C$4:$C$19,MATCH($C98&amp;"|"&amp;$G98,'02_Схемы оплаты'!$H$4:$H$19,0)),0)</f>
        <v>0</v>
      </c>
      <c r="U98" s="11"/>
      <c r="V98" s="28"/>
      <c r="W98" s="8"/>
      <c r="X98" s="8">
        <f>IFERROR(INDEX('02_Схемы оплаты'!$D$4:$D$19,MATCH($C98&amp;"|"&amp;$G98,'02_Схемы оплаты'!$H$4:$H$19,0)),0)</f>
        <v>0</v>
      </c>
      <c r="Y98" s="11"/>
      <c r="Z98" s="28"/>
      <c r="AA98" s="8"/>
      <c r="AB98" s="8">
        <f>IFERROR(INDEX('02_Схемы оплаты'!$E$4:$E$19,MATCH($C98&amp;"|"&amp;$G98,'02_Схемы оплаты'!$H$4:$H$19,0)),0)</f>
        <v>0</v>
      </c>
      <c r="AC98" s="11"/>
      <c r="AD98" s="28"/>
      <c r="AE98" s="8"/>
      <c r="AF98" s="10"/>
      <c r="AG98" s="10"/>
      <c r="AH98" s="25">
        <f>IFERROR(SUMIFS('04_Потребность'!$D$4:$D$103,'04_Потребность'!$A$4:$A$103,A98,'04_Потребность'!$C$4:$C$103,B98),0)</f>
        <v>0</v>
      </c>
      <c r="AI98" s="26" t="str">
        <f>IF(OR(A98="",B98=""),"",IFERROR(SUMIFS('04_Потребность'!$E$4:$E$103,'04_Потребность'!$A$4:$A$103,A98,'04_Потребность'!$C$4:$C$103,B98),0))</f>
        <v/>
      </c>
      <c r="AJ98" s="25" t="str">
        <f>IF(OR(A98="",B98=""),"",IFERROR(SUMIFS('04_Потребность'!$F$4:$F$103,'04_Потребность'!$A$4:$A$103,A98,'04_Потребность'!$C$4:$C$103,B98),0))</f>
        <v/>
      </c>
      <c r="AK98" s="29" t="str">
        <f>IF(OR(A98="",B98=""),"",IFERROR(SUMIFS('04_Потребность'!$G$4:$G$103,'04_Потребность'!$A$4:$A$103,A98,'04_Потребность'!$C$4:$C$103,B98),0))</f>
        <v/>
      </c>
      <c r="AL98" s="25" t="str">
        <f>IF('03_Настройки'!$B$7="Нет","Нет",IF(COUNTIFS('04_Потребность'!$A$4:$A$103,A98,'04_Потребность'!$C$4:$C$103,B98,'04_Потребность'!$H$4:$H$103,"Да")&gt;0,"Да","Нет"))</f>
        <v>Нет</v>
      </c>
      <c r="AM98" s="30">
        <f t="shared" si="40"/>
        <v>0</v>
      </c>
      <c r="AN98" s="30">
        <f t="shared" si="41"/>
        <v>0</v>
      </c>
      <c r="AO98" s="29">
        <f t="shared" si="42"/>
        <v>0</v>
      </c>
      <c r="AP98" s="29">
        <f t="shared" si="43"/>
        <v>0</v>
      </c>
      <c r="AQ98" s="29">
        <f t="shared" si="44"/>
        <v>0</v>
      </c>
      <c r="AR98" s="29">
        <f>IFERROR(E98*'03_Настройки'!$B$4/365*(IF(T98&gt;0,T98*V98*(1+W98)*MAX(0,N98-U98),0)+IF(X98&gt;0,X98*Z98*(1+AA98)*MAX(0,N98-Y98),0)+IF(AB98&gt;0,AB98*AD98*(1+AE98)*MAX(0,N98-AC98),0)),0)</f>
        <v>0</v>
      </c>
      <c r="AS98" s="29">
        <f t="shared" si="45"/>
        <v>0</v>
      </c>
      <c r="AT98" s="31">
        <f t="shared" si="46"/>
        <v>0</v>
      </c>
      <c r="AU98" s="31">
        <f t="shared" si="47"/>
        <v>0</v>
      </c>
      <c r="AV98" s="32">
        <f t="shared" si="48"/>
        <v>0</v>
      </c>
      <c r="AW98" s="29" t="e">
        <f t="shared" si="49"/>
        <v>#VALUE!</v>
      </c>
      <c r="AX98" s="29">
        <f t="shared" si="50"/>
        <v>0</v>
      </c>
      <c r="AY98" s="29" t="e">
        <f t="shared" si="51"/>
        <v>#VALUE!</v>
      </c>
      <c r="AZ98" s="25" t="str">
        <f>IF(AND(A98&lt;&gt;"",B98&lt;&gt;"",C98&lt;&gt;"",D98&gt;0,E98&gt;0,N98&lt;&gt;"",AH98&gt;0,O98="Да",P98="Да",BZ98="ПОЛНО",ABS(AN98-1)&lt;='03_Настройки'!$B$5,IF(T98&gt;0,AND(U98&lt;&gt;"",V98&gt;0),TRUE()),IF(X98&gt;0,AND(Y98&lt;&gt;"",Z98&gt;0),TRUE()),IF(AB98&gt;0,AND(AC98&lt;&gt;"",AD98&gt;0),TRUE()),OR(BM98="",BM98="Активна")),"Да","Нет")</f>
        <v>Нет</v>
      </c>
      <c r="BA98" s="25" t="str">
        <f t="shared" si="52"/>
        <v>Нет</v>
      </c>
      <c r="BB98" s="25" t="str">
        <f t="shared" si="53"/>
        <v/>
      </c>
      <c r="BC98" s="25" t="str">
        <f t="shared" si="54"/>
        <v/>
      </c>
      <c r="BD98" s="25" t="str">
        <f t="shared" si="55"/>
        <v/>
      </c>
      <c r="BE98" s="25" t="str">
        <f>IF(A98="","",IF(BZ98&lt;&gt;"ПОЛНО","BLOCK: неполная форма",IF(O98&lt;&gt;"Да","BLOCK: ввоз не разрешён",IF(P98&lt;&gt;"Да","BLOCK: документы не подтверждены",IF(ABS(AN98-1)&gt;'03_Настройки'!$B$5,"BLOCK: платежи не 100%",IF(AND(BM98&lt;&gt;"",BM98&lt;&gt;"Активна"),"BLOCK: позиция "&amp;BM98,IF(BA98&lt;&gt;"Да","PARTIAL: не покрывает потребность",IF(BB98="ДА","самый дешёвый"&amp;IF(BC98="ДА"," + быстрый","")&amp;IF(BD98="ДА"," + optimal",""),IF(BC98="ДА","самый быстрый"&amp;IF(BD98="ДА"," + optimal",""),IF(BD98="ДА","optimal","Допущен"))))))))))</f>
        <v/>
      </c>
      <c r="BF98" s="25">
        <f>ROW()</f>
        <v>98</v>
      </c>
      <c r="BG98" s="33"/>
      <c r="BH98" s="33"/>
      <c r="BI98" s="33"/>
      <c r="BJ98" s="33"/>
      <c r="BK98" s="33"/>
      <c r="BL98" s="34"/>
      <c r="BM98" s="33"/>
      <c r="BN98" s="35" t="str">
        <f t="shared" si="56"/>
        <v/>
      </c>
      <c r="BO98" s="36" t="str">
        <f t="shared" si="57"/>
        <v/>
      </c>
      <c r="BP98" s="33"/>
      <c r="BQ98" s="38"/>
      <c r="BR98" s="13"/>
      <c r="BS98" s="13"/>
      <c r="BT98" s="13"/>
      <c r="BU98" s="13"/>
      <c r="BV98" s="13"/>
      <c r="BW98" s="13"/>
      <c r="BX98" s="39" t="str">
        <f t="shared" si="58"/>
        <v/>
      </c>
      <c r="BY98" s="47"/>
      <c r="BZ98" s="48" t="str">
        <f t="shared" si="59"/>
        <v/>
      </c>
      <c r="CA98" s="47"/>
      <c r="CB98" s="47"/>
      <c r="CC98" s="47"/>
    </row>
    <row r="99" spans="1:81" ht="14.25" x14ac:dyDescent="0.45">
      <c r="A99" s="10"/>
      <c r="B99" s="10"/>
      <c r="C99" s="10"/>
      <c r="D99" s="10"/>
      <c r="E99" s="10"/>
      <c r="F99" s="10"/>
      <c r="G99" s="10"/>
      <c r="H99" s="25" t="str">
        <f>IFERROR(VLOOKUP(C99,'01_Поставщики'!$A$4:$M$11,2,FALSE()),"")</f>
        <v/>
      </c>
      <c r="I99" s="10"/>
      <c r="J99" s="25" t="str">
        <f>IFERROR(VLOOKUP(C99,'01_Поставщики'!$A$4:$M$11,8,FALSE()),"")</f>
        <v/>
      </c>
      <c r="K99" s="25" t="str">
        <f>IFERROR(VLOOKUP(C99,'01_Поставщики'!$A$4:$M$11,4,FALSE()),"")</f>
        <v/>
      </c>
      <c r="L99" s="25" t="str">
        <f>IFERROR(VLOOKUP(C99,'01_Поставщики'!$A$4:$M$11,10,FALSE()),"")</f>
        <v/>
      </c>
      <c r="M99" s="26" t="str">
        <f>IF(OR(A99="",B99=""),"",IFERROR(SUMIFS('04_Потребность'!$B$4:$B$103,'04_Потребность'!$A$4:$A$103,A99,'04_Потребность'!$C$4:$C$103,B99),0))</f>
        <v/>
      </c>
      <c r="N99" s="11"/>
      <c r="O99" s="10"/>
      <c r="P99" s="10"/>
      <c r="Q99" s="27"/>
      <c r="R99" s="27"/>
      <c r="S99" s="8"/>
      <c r="T99" s="8">
        <f>IFERROR(INDEX('02_Схемы оплаты'!$C$4:$C$19,MATCH($C99&amp;"|"&amp;$G99,'02_Схемы оплаты'!$H$4:$H$19,0)),0)</f>
        <v>0</v>
      </c>
      <c r="U99" s="11"/>
      <c r="V99" s="28"/>
      <c r="W99" s="8"/>
      <c r="X99" s="8">
        <f>IFERROR(INDEX('02_Схемы оплаты'!$D$4:$D$19,MATCH($C99&amp;"|"&amp;$G99,'02_Схемы оплаты'!$H$4:$H$19,0)),0)</f>
        <v>0</v>
      </c>
      <c r="Y99" s="11"/>
      <c r="Z99" s="28"/>
      <c r="AA99" s="8"/>
      <c r="AB99" s="8">
        <f>IFERROR(INDEX('02_Схемы оплаты'!$E$4:$E$19,MATCH($C99&amp;"|"&amp;$G99,'02_Схемы оплаты'!$H$4:$H$19,0)),0)</f>
        <v>0</v>
      </c>
      <c r="AC99" s="11"/>
      <c r="AD99" s="28"/>
      <c r="AE99" s="8"/>
      <c r="AF99" s="10"/>
      <c r="AG99" s="10"/>
      <c r="AH99" s="25">
        <f>IFERROR(SUMIFS('04_Потребность'!$D$4:$D$103,'04_Потребность'!$A$4:$A$103,A99,'04_Потребность'!$C$4:$C$103,B99),0)</f>
        <v>0</v>
      </c>
      <c r="AI99" s="26" t="str">
        <f>IF(OR(A99="",B99=""),"",IFERROR(SUMIFS('04_Потребность'!$E$4:$E$103,'04_Потребность'!$A$4:$A$103,A99,'04_Потребность'!$C$4:$C$103,B99),0))</f>
        <v/>
      </c>
      <c r="AJ99" s="25" t="str">
        <f>IF(OR(A99="",B99=""),"",IFERROR(SUMIFS('04_Потребность'!$F$4:$F$103,'04_Потребность'!$A$4:$A$103,A99,'04_Потребность'!$C$4:$C$103,B99),0))</f>
        <v/>
      </c>
      <c r="AK99" s="29" t="str">
        <f>IF(OR(A99="",B99=""),"",IFERROR(SUMIFS('04_Потребность'!$G$4:$G$103,'04_Потребность'!$A$4:$A$103,A99,'04_Потребность'!$C$4:$C$103,B99),0))</f>
        <v/>
      </c>
      <c r="AL99" s="25" t="str">
        <f>IF('03_Настройки'!$B$7="Нет","Нет",IF(COUNTIFS('04_Потребность'!$A$4:$A$103,A99,'04_Потребность'!$C$4:$C$103,B99,'04_Потребность'!$H$4:$H$103,"Да")&gt;0,"Да","Нет"))</f>
        <v>Нет</v>
      </c>
      <c r="AM99" s="30">
        <f t="shared" si="40"/>
        <v>0</v>
      </c>
      <c r="AN99" s="30">
        <f t="shared" si="41"/>
        <v>0</v>
      </c>
      <c r="AO99" s="29">
        <f t="shared" si="42"/>
        <v>0</v>
      </c>
      <c r="AP99" s="29">
        <f t="shared" si="43"/>
        <v>0</v>
      </c>
      <c r="AQ99" s="29">
        <f t="shared" si="44"/>
        <v>0</v>
      </c>
      <c r="AR99" s="29">
        <f>IFERROR(E99*'03_Настройки'!$B$4/365*(IF(T99&gt;0,T99*V99*(1+W99)*MAX(0,N99-U99),0)+IF(X99&gt;0,X99*Z99*(1+AA99)*MAX(0,N99-Y99),0)+IF(AB99&gt;0,AB99*AD99*(1+AE99)*MAX(0,N99-AC99),0)),0)</f>
        <v>0</v>
      </c>
      <c r="AS99" s="29">
        <f t="shared" si="45"/>
        <v>0</v>
      </c>
      <c r="AT99" s="31">
        <f t="shared" si="46"/>
        <v>0</v>
      </c>
      <c r="AU99" s="31">
        <f t="shared" si="47"/>
        <v>0</v>
      </c>
      <c r="AV99" s="32">
        <f t="shared" si="48"/>
        <v>0</v>
      </c>
      <c r="AW99" s="29" t="e">
        <f t="shared" si="49"/>
        <v>#VALUE!</v>
      </c>
      <c r="AX99" s="29">
        <f t="shared" si="50"/>
        <v>0</v>
      </c>
      <c r="AY99" s="29" t="e">
        <f t="shared" si="51"/>
        <v>#VALUE!</v>
      </c>
      <c r="AZ99" s="25" t="str">
        <f>IF(AND(A99&lt;&gt;"",B99&lt;&gt;"",C99&lt;&gt;"",D99&gt;0,E99&gt;0,N99&lt;&gt;"",AH99&gt;0,O99="Да",P99="Да",BZ99="ПОЛНО",ABS(AN99-1)&lt;='03_Настройки'!$B$5,IF(T99&gt;0,AND(U99&lt;&gt;"",V99&gt;0),TRUE()),IF(X99&gt;0,AND(Y99&lt;&gt;"",Z99&gt;0),TRUE()),IF(AB99&gt;0,AND(AC99&lt;&gt;"",AD99&gt;0),TRUE()),OR(BM99="",BM99="Активна")),"Да","Нет")</f>
        <v>Нет</v>
      </c>
      <c r="BA99" s="25" t="str">
        <f t="shared" si="52"/>
        <v>Нет</v>
      </c>
      <c r="BB99" s="25" t="str">
        <f t="shared" si="53"/>
        <v/>
      </c>
      <c r="BC99" s="25" t="str">
        <f t="shared" si="54"/>
        <v/>
      </c>
      <c r="BD99" s="25" t="str">
        <f t="shared" si="55"/>
        <v/>
      </c>
      <c r="BE99" s="25" t="str">
        <f>IF(A99="","",IF(BZ99&lt;&gt;"ПОЛНО","BLOCK: неполная форма",IF(O99&lt;&gt;"Да","BLOCK: ввоз не разрешён",IF(P99&lt;&gt;"Да","BLOCK: документы не подтверждены",IF(ABS(AN99-1)&gt;'03_Настройки'!$B$5,"BLOCK: платежи не 100%",IF(AND(BM99&lt;&gt;"",BM99&lt;&gt;"Активна"),"BLOCK: позиция "&amp;BM99,IF(BA99&lt;&gt;"Да","PARTIAL: не покрывает потребность",IF(BB99="ДА","самый дешёвый"&amp;IF(BC99="ДА"," + быстрый","")&amp;IF(BD99="ДА"," + optimal",""),IF(BC99="ДА","самый быстрый"&amp;IF(BD99="ДА"," + optimal",""),IF(BD99="ДА","optimal","Допущен"))))))))))</f>
        <v/>
      </c>
      <c r="BF99" s="25">
        <f>ROW()</f>
        <v>99</v>
      </c>
      <c r="BG99" s="33"/>
      <c r="BH99" s="33"/>
      <c r="BI99" s="33"/>
      <c r="BJ99" s="33"/>
      <c r="BK99" s="33"/>
      <c r="BL99" s="34"/>
      <c r="BM99" s="33"/>
      <c r="BN99" s="35" t="str">
        <f t="shared" si="56"/>
        <v/>
      </c>
      <c r="BO99" s="36" t="str">
        <f t="shared" si="57"/>
        <v/>
      </c>
      <c r="BP99" s="33"/>
      <c r="BQ99" s="38"/>
      <c r="BR99" s="13"/>
      <c r="BS99" s="13"/>
      <c r="BT99" s="13"/>
      <c r="BU99" s="13"/>
      <c r="BV99" s="13"/>
      <c r="BW99" s="13"/>
      <c r="BX99" s="39" t="str">
        <f t="shared" si="58"/>
        <v/>
      </c>
      <c r="BY99" s="47"/>
      <c r="BZ99" s="48" t="str">
        <f t="shared" si="59"/>
        <v/>
      </c>
      <c r="CA99" s="47"/>
      <c r="CB99" s="47"/>
      <c r="CC99" s="47"/>
    </row>
    <row r="100" spans="1:81" ht="14.25" x14ac:dyDescent="0.45">
      <c r="A100" s="10"/>
      <c r="B100" s="10"/>
      <c r="C100" s="10"/>
      <c r="D100" s="10"/>
      <c r="E100" s="10"/>
      <c r="F100" s="10"/>
      <c r="G100" s="10"/>
      <c r="H100" s="25" t="str">
        <f>IFERROR(VLOOKUP(C100,'01_Поставщики'!$A$4:$M$11,2,FALSE()),"")</f>
        <v/>
      </c>
      <c r="I100" s="10"/>
      <c r="J100" s="25" t="str">
        <f>IFERROR(VLOOKUP(C100,'01_Поставщики'!$A$4:$M$11,8,FALSE()),"")</f>
        <v/>
      </c>
      <c r="K100" s="25" t="str">
        <f>IFERROR(VLOOKUP(C100,'01_Поставщики'!$A$4:$M$11,4,FALSE()),"")</f>
        <v/>
      </c>
      <c r="L100" s="25" t="str">
        <f>IFERROR(VLOOKUP(C100,'01_Поставщики'!$A$4:$M$11,10,FALSE()),"")</f>
        <v/>
      </c>
      <c r="M100" s="26" t="str">
        <f>IF(OR(A100="",B100=""),"",IFERROR(SUMIFS('04_Потребность'!$B$4:$B$103,'04_Потребность'!$A$4:$A$103,A100,'04_Потребность'!$C$4:$C$103,B100),0))</f>
        <v/>
      </c>
      <c r="N100" s="11"/>
      <c r="O100" s="10"/>
      <c r="P100" s="10"/>
      <c r="Q100" s="27"/>
      <c r="R100" s="27"/>
      <c r="S100" s="8"/>
      <c r="T100" s="8">
        <f>IFERROR(INDEX('02_Схемы оплаты'!$C$4:$C$19,MATCH($C100&amp;"|"&amp;$G100,'02_Схемы оплаты'!$H$4:$H$19,0)),0)</f>
        <v>0</v>
      </c>
      <c r="U100" s="11"/>
      <c r="V100" s="28"/>
      <c r="W100" s="8"/>
      <c r="X100" s="8">
        <f>IFERROR(INDEX('02_Схемы оплаты'!$D$4:$D$19,MATCH($C100&amp;"|"&amp;$G100,'02_Схемы оплаты'!$H$4:$H$19,0)),0)</f>
        <v>0</v>
      </c>
      <c r="Y100" s="11"/>
      <c r="Z100" s="28"/>
      <c r="AA100" s="8"/>
      <c r="AB100" s="8">
        <f>IFERROR(INDEX('02_Схемы оплаты'!$E$4:$E$19,MATCH($C100&amp;"|"&amp;$G100,'02_Схемы оплаты'!$H$4:$H$19,0)),0)</f>
        <v>0</v>
      </c>
      <c r="AC100" s="11"/>
      <c r="AD100" s="28"/>
      <c r="AE100" s="8"/>
      <c r="AF100" s="10"/>
      <c r="AG100" s="10"/>
      <c r="AH100" s="25">
        <f>IFERROR(SUMIFS('04_Потребность'!$D$4:$D$103,'04_Потребность'!$A$4:$A$103,A100,'04_Потребность'!$C$4:$C$103,B100),0)</f>
        <v>0</v>
      </c>
      <c r="AI100" s="26" t="str">
        <f>IF(OR(A100="",B100=""),"",IFERROR(SUMIFS('04_Потребность'!$E$4:$E$103,'04_Потребность'!$A$4:$A$103,A100,'04_Потребность'!$C$4:$C$103,B100),0))</f>
        <v/>
      </c>
      <c r="AJ100" s="25" t="str">
        <f>IF(OR(A100="",B100=""),"",IFERROR(SUMIFS('04_Потребность'!$F$4:$F$103,'04_Потребность'!$A$4:$A$103,A100,'04_Потребность'!$C$4:$C$103,B100),0))</f>
        <v/>
      </c>
      <c r="AK100" s="29" t="str">
        <f>IF(OR(A100="",B100=""),"",IFERROR(SUMIFS('04_Потребность'!$G$4:$G$103,'04_Потребность'!$A$4:$A$103,A100,'04_Потребность'!$C$4:$C$103,B100),0))</f>
        <v/>
      </c>
      <c r="AL100" s="25" t="str">
        <f>IF('03_Настройки'!$B$7="Нет","Нет",IF(COUNTIFS('04_Потребность'!$A$4:$A$103,A100,'04_Потребность'!$C$4:$C$103,B100,'04_Потребность'!$H$4:$H$103,"Да")&gt;0,"Да","Нет"))</f>
        <v>Нет</v>
      </c>
      <c r="AM100" s="30">
        <f t="shared" ref="AM100:AM131" si="60">IFERROR(MIN(1,D100/AH100),0)</f>
        <v>0</v>
      </c>
      <c r="AN100" s="30">
        <f t="shared" ref="AN100:AN131" si="61">SUM(T100,X100,AB100)</f>
        <v>0</v>
      </c>
      <c r="AO100" s="29">
        <f t="shared" ref="AO100:AO131" si="62">IFERROR(E100*(T100*V100*(1+W100)+X100*Z100*(1+AA100)+AB100*AD100*(1+AE100)),0)</f>
        <v>0</v>
      </c>
      <c r="AP100" s="29">
        <f t="shared" ref="AP100:AP131" si="63">AO100*S100</f>
        <v>0</v>
      </c>
      <c r="AQ100" s="29">
        <f t="shared" ref="AQ100:AQ131" si="64">AO100+AP100+Q100+R100</f>
        <v>0</v>
      </c>
      <c r="AR100" s="29">
        <f>IFERROR(E100*'03_Настройки'!$B$4/365*(IF(T100&gt;0,T100*V100*(1+W100)*MAX(0,N100-U100),0)+IF(X100&gt;0,X100*Z100*(1+AA100)*MAX(0,N100-Y100),0)+IF(AB100&gt;0,AB100*AD100*(1+AE100)*MAX(0,N100-AC100),0)),0)</f>
        <v>0</v>
      </c>
      <c r="AS100" s="29">
        <f t="shared" ref="AS100:AS131" si="65">AQ100+AR100</f>
        <v>0</v>
      </c>
      <c r="AT100" s="31">
        <f t="shared" ref="AT100:AT131" si="66">IFERROR(MAX(0,N100-M100),0)</f>
        <v>0</v>
      </c>
      <c r="AU100" s="31">
        <f t="shared" ref="AU100:AU131" si="67">IFERROR(MAX(0,N100-AI100),0)</f>
        <v>0</v>
      </c>
      <c r="AV100" s="32">
        <f t="shared" ref="AV100:AV131" si="68">IF(AL100="Да",MIN(AH100,AJ100*AU100),0)</f>
        <v>0</v>
      </c>
      <c r="AW100" s="29" t="e">
        <f t="shared" ref="AW100:AW131" si="69">AV100*AK100</f>
        <v>#VALUE!</v>
      </c>
      <c r="AX100" s="29">
        <f t="shared" ref="AX100:AX131" si="70">AS100*AH100</f>
        <v>0</v>
      </c>
      <c r="AY100" s="29" t="e">
        <f t="shared" ref="AY100:AY131" si="71">AX100+AW100</f>
        <v>#VALUE!</v>
      </c>
      <c r="AZ100" s="25" t="str">
        <f>IF(AND(A100&lt;&gt;"",B100&lt;&gt;"",C100&lt;&gt;"",D100&gt;0,E100&gt;0,N100&lt;&gt;"",AH100&gt;0,O100="Да",P100="Да",BZ100="ПОЛНО",ABS(AN100-1)&lt;='03_Настройки'!$B$5,IF(T100&gt;0,AND(U100&lt;&gt;"",V100&gt;0),TRUE()),IF(X100&gt;0,AND(Y100&lt;&gt;"",Z100&gt;0),TRUE()),IF(AB100&gt;0,AND(AC100&lt;&gt;"",AD100&gt;0),TRUE()),OR(BM100="",BM100="Активна")),"Да","Нет")</f>
        <v>Нет</v>
      </c>
      <c r="BA100" s="25" t="str">
        <f t="shared" ref="BA100:BA131" si="72">IF(AM100&gt;=1,"Да","Нет")</f>
        <v>Нет</v>
      </c>
      <c r="BB100" s="25" t="str">
        <f t="shared" ref="BB100:BB131" si="73">IF(AND(AZ100="Да",BA100="Да",COUNTIFS($A$4:$A$203,A100,$B$4:$B$203,B100,$AZ$4:$AZ$203,"Да",$BA$4:$BA$203,"Да",$AX$4:$AX$203,"&lt;"&amp;AX100)=0,COUNTIFS($A$4:$A$203,A100,$B$4:$B$203,B100,$AZ$4:$AZ$203,"Да",$BA$4:$BA$203,"Да",$AX$4:$AX$203,"="&amp;AX100,$BF$4:$BF$203,"&lt;"&amp;BF100)=0),"ДА","")</f>
        <v/>
      </c>
      <c r="BC100" s="25" t="str">
        <f t="shared" ref="BC100:BC131" si="74">IF(AND(AZ100="Да",BA100="Да",COUNTIFS($A$4:$A$203,A100,$B$4:$B$203,B100,$AZ$4:$AZ$203,"Да",$BA$4:$BA$203,"Да",$N$4:$N$203,"&lt;"&amp;N100)=0,COUNTIFS($A$4:$A$203,A100,$B$4:$B$203,B100,$AZ$4:$AZ$203,"Да",$BA$4:$BA$203,"Да",$N$4:$N$203,"="&amp;N100,$BF$4:$BF$203,"&lt;"&amp;BF100)=0),"ДА","")</f>
        <v/>
      </c>
      <c r="BD100" s="25" t="str">
        <f t="shared" ref="BD100:BD131" si="75">IF(AND(AZ100="Да",BA100="Да",COUNTIFS($A$4:$A$203,A100,$B$4:$B$203,B100,$AZ$4:$AZ$203,"Да",$BA$4:$BA$203,"Да",$AY$4:$AY$203,"&lt;"&amp;AY100)=0,COUNTIFS($A$4:$A$203,A100,$B$4:$B$203,B100,$AZ$4:$AZ$203,"Да",$BA$4:$BA$203,"Да",$AY$4:$AY$203,"="&amp;AY100,$BF$4:$BF$203,"&lt;"&amp;BF100)=0),"ДА","")</f>
        <v/>
      </c>
      <c r="BE100" s="25" t="str">
        <f>IF(A100="","",IF(BZ100&lt;&gt;"ПОЛНО","BLOCK: неполная форма",IF(O100&lt;&gt;"Да","BLOCK: ввоз не разрешён",IF(P100&lt;&gt;"Да","BLOCK: документы не подтверждены",IF(ABS(AN100-1)&gt;'03_Настройки'!$B$5,"BLOCK: платежи не 100%",IF(AND(BM100&lt;&gt;"",BM100&lt;&gt;"Активна"),"BLOCK: позиция "&amp;BM100,IF(BA100&lt;&gt;"Да","PARTIAL: не покрывает потребность",IF(BB100="ДА","самый дешёвый"&amp;IF(BC100="ДА"," + быстрый","")&amp;IF(BD100="ДА"," + optimal",""),IF(BC100="ДА","самый быстрый"&amp;IF(BD100="ДА"," + optimal",""),IF(BD100="ДА","optimal","Допущен"))))))))))</f>
        <v/>
      </c>
      <c r="BF100" s="25">
        <f>ROW()</f>
        <v>100</v>
      </c>
      <c r="BG100" s="33"/>
      <c r="BH100" s="33"/>
      <c r="BI100" s="33"/>
      <c r="BJ100" s="33"/>
      <c r="BK100" s="33"/>
      <c r="BL100" s="34"/>
      <c r="BM100" s="33"/>
      <c r="BN100" s="35" t="str">
        <f t="shared" ref="BN100:BN131" si="76">IF(BG100+BH100=0,"",IF(BG100+BH100&lt;&gt;D100,"⚠ SIM+eSIM≠Доступно","OK"))</f>
        <v/>
      </c>
      <c r="BO100" s="36" t="str">
        <f t="shared" ref="BO100:BO131" si="77">IF($C100="","",IF(TRIM(IF(O100&lt;&gt;"Да","⚠Ввоз ","")&amp;IF(P100&lt;&gt;"Да","⚠Документы ","")&amp;IF(AND(BG100+BH100&gt;0,D100&gt;0,BG100+BH100&lt;&gt;D100),"⚠SIM/eSIM ","")&amp;IF(BZ100&lt;&gt;"ПОЛНО","⚠НеполнаяФорма ",""))="","OK",TRIM(IF(O100&lt;&gt;"Да","⚠Ввоз ","")&amp;IF(P100&lt;&gt;"Да","⚠Документы ","")&amp;IF(AND(BG100+BH100&gt;0,D100&gt;0,BG100+BH100&lt;&gt;D100),"⚠SIM/eSIM ","")&amp;IF(BZ100&lt;&gt;"ПОЛНО","⚠НеполнаяФорма ",""))))</f>
        <v/>
      </c>
      <c r="BP100" s="33"/>
      <c r="BQ100" s="38"/>
      <c r="BR100" s="13"/>
      <c r="BS100" s="13"/>
      <c r="BT100" s="13"/>
      <c r="BU100" s="13"/>
      <c r="BV100" s="13"/>
      <c r="BW100" s="13"/>
      <c r="BX100" s="39" t="str">
        <f t="shared" ref="BX100:BX131" si="78">IF(OR(BV100&lt;&gt;"",BW100&lt;&gt;""),"Да","")</f>
        <v/>
      </c>
      <c r="BY100" s="47"/>
      <c r="BZ100" s="48" t="str">
        <f t="shared" ref="BZ100:BZ131" si="79">IF(A100="","",IF(AND(BT100&lt;&gt;"",BJ100&lt;&gt;"",CA100&lt;&gt;"",BK100&lt;&gt;"",OR(BG100&lt;&gt;"",BH100&lt;&gt;""),BM100&lt;&gt;""),"ПОЛНО","НЕПОЛНО"))</f>
        <v/>
      </c>
      <c r="CA100" s="47"/>
      <c r="CB100" s="47"/>
      <c r="CC100" s="47"/>
    </row>
    <row r="101" spans="1:81" ht="14.25" x14ac:dyDescent="0.45">
      <c r="A101" s="10"/>
      <c r="B101" s="10"/>
      <c r="C101" s="10"/>
      <c r="D101" s="10"/>
      <c r="E101" s="10"/>
      <c r="F101" s="10"/>
      <c r="G101" s="10"/>
      <c r="H101" s="25" t="str">
        <f>IFERROR(VLOOKUP(C101,'01_Поставщики'!$A$4:$M$11,2,FALSE()),"")</f>
        <v/>
      </c>
      <c r="I101" s="10"/>
      <c r="J101" s="25" t="str">
        <f>IFERROR(VLOOKUP(C101,'01_Поставщики'!$A$4:$M$11,8,FALSE()),"")</f>
        <v/>
      </c>
      <c r="K101" s="25" t="str">
        <f>IFERROR(VLOOKUP(C101,'01_Поставщики'!$A$4:$M$11,4,FALSE()),"")</f>
        <v/>
      </c>
      <c r="L101" s="25" t="str">
        <f>IFERROR(VLOOKUP(C101,'01_Поставщики'!$A$4:$M$11,10,FALSE()),"")</f>
        <v/>
      </c>
      <c r="M101" s="26" t="str">
        <f>IF(OR(A101="",B101=""),"",IFERROR(SUMIFS('04_Потребность'!$B$4:$B$103,'04_Потребность'!$A$4:$A$103,A101,'04_Потребность'!$C$4:$C$103,B101),0))</f>
        <v/>
      </c>
      <c r="N101" s="11"/>
      <c r="O101" s="10"/>
      <c r="P101" s="10"/>
      <c r="Q101" s="27"/>
      <c r="R101" s="27"/>
      <c r="S101" s="8"/>
      <c r="T101" s="8">
        <f>IFERROR(INDEX('02_Схемы оплаты'!$C$4:$C$19,MATCH($C101&amp;"|"&amp;$G101,'02_Схемы оплаты'!$H$4:$H$19,0)),0)</f>
        <v>0</v>
      </c>
      <c r="U101" s="11"/>
      <c r="V101" s="28"/>
      <c r="W101" s="8"/>
      <c r="X101" s="8">
        <f>IFERROR(INDEX('02_Схемы оплаты'!$D$4:$D$19,MATCH($C101&amp;"|"&amp;$G101,'02_Схемы оплаты'!$H$4:$H$19,0)),0)</f>
        <v>0</v>
      </c>
      <c r="Y101" s="11"/>
      <c r="Z101" s="28"/>
      <c r="AA101" s="8"/>
      <c r="AB101" s="8">
        <f>IFERROR(INDEX('02_Схемы оплаты'!$E$4:$E$19,MATCH($C101&amp;"|"&amp;$G101,'02_Схемы оплаты'!$H$4:$H$19,0)),0)</f>
        <v>0</v>
      </c>
      <c r="AC101" s="11"/>
      <c r="AD101" s="28"/>
      <c r="AE101" s="8"/>
      <c r="AF101" s="10"/>
      <c r="AG101" s="10"/>
      <c r="AH101" s="25">
        <f>IFERROR(SUMIFS('04_Потребность'!$D$4:$D$103,'04_Потребность'!$A$4:$A$103,A101,'04_Потребность'!$C$4:$C$103,B101),0)</f>
        <v>0</v>
      </c>
      <c r="AI101" s="26" t="str">
        <f>IF(OR(A101="",B101=""),"",IFERROR(SUMIFS('04_Потребность'!$E$4:$E$103,'04_Потребность'!$A$4:$A$103,A101,'04_Потребность'!$C$4:$C$103,B101),0))</f>
        <v/>
      </c>
      <c r="AJ101" s="25" t="str">
        <f>IF(OR(A101="",B101=""),"",IFERROR(SUMIFS('04_Потребность'!$F$4:$F$103,'04_Потребность'!$A$4:$A$103,A101,'04_Потребность'!$C$4:$C$103,B101),0))</f>
        <v/>
      </c>
      <c r="AK101" s="29" t="str">
        <f>IF(OR(A101="",B101=""),"",IFERROR(SUMIFS('04_Потребность'!$G$4:$G$103,'04_Потребность'!$A$4:$A$103,A101,'04_Потребность'!$C$4:$C$103,B101),0))</f>
        <v/>
      </c>
      <c r="AL101" s="25" t="str">
        <f>IF('03_Настройки'!$B$7="Нет","Нет",IF(COUNTIFS('04_Потребность'!$A$4:$A$103,A101,'04_Потребность'!$C$4:$C$103,B101,'04_Потребность'!$H$4:$H$103,"Да")&gt;0,"Да","Нет"))</f>
        <v>Нет</v>
      </c>
      <c r="AM101" s="30">
        <f t="shared" si="60"/>
        <v>0</v>
      </c>
      <c r="AN101" s="30">
        <f t="shared" si="61"/>
        <v>0</v>
      </c>
      <c r="AO101" s="29">
        <f t="shared" si="62"/>
        <v>0</v>
      </c>
      <c r="AP101" s="29">
        <f t="shared" si="63"/>
        <v>0</v>
      </c>
      <c r="AQ101" s="29">
        <f t="shared" si="64"/>
        <v>0</v>
      </c>
      <c r="AR101" s="29">
        <f>IFERROR(E101*'03_Настройки'!$B$4/365*(IF(T101&gt;0,T101*V101*(1+W101)*MAX(0,N101-U101),0)+IF(X101&gt;0,X101*Z101*(1+AA101)*MAX(0,N101-Y101),0)+IF(AB101&gt;0,AB101*AD101*(1+AE101)*MAX(0,N101-AC101),0)),0)</f>
        <v>0</v>
      </c>
      <c r="AS101" s="29">
        <f t="shared" si="65"/>
        <v>0</v>
      </c>
      <c r="AT101" s="31">
        <f t="shared" si="66"/>
        <v>0</v>
      </c>
      <c r="AU101" s="31">
        <f t="shared" si="67"/>
        <v>0</v>
      </c>
      <c r="AV101" s="32">
        <f t="shared" si="68"/>
        <v>0</v>
      </c>
      <c r="AW101" s="29" t="e">
        <f t="shared" si="69"/>
        <v>#VALUE!</v>
      </c>
      <c r="AX101" s="29">
        <f t="shared" si="70"/>
        <v>0</v>
      </c>
      <c r="AY101" s="29" t="e">
        <f t="shared" si="71"/>
        <v>#VALUE!</v>
      </c>
      <c r="AZ101" s="25" t="str">
        <f>IF(AND(A101&lt;&gt;"",B101&lt;&gt;"",C101&lt;&gt;"",D101&gt;0,E101&gt;0,N101&lt;&gt;"",AH101&gt;0,O101="Да",P101="Да",BZ101="ПОЛНО",ABS(AN101-1)&lt;='03_Настройки'!$B$5,IF(T101&gt;0,AND(U101&lt;&gt;"",V101&gt;0),TRUE()),IF(X101&gt;0,AND(Y101&lt;&gt;"",Z101&gt;0),TRUE()),IF(AB101&gt;0,AND(AC101&lt;&gt;"",AD101&gt;0),TRUE()),OR(BM101="",BM101="Активна")),"Да","Нет")</f>
        <v>Нет</v>
      </c>
      <c r="BA101" s="25" t="str">
        <f t="shared" si="72"/>
        <v>Нет</v>
      </c>
      <c r="BB101" s="25" t="str">
        <f t="shared" si="73"/>
        <v/>
      </c>
      <c r="BC101" s="25" t="str">
        <f t="shared" si="74"/>
        <v/>
      </c>
      <c r="BD101" s="25" t="str">
        <f t="shared" si="75"/>
        <v/>
      </c>
      <c r="BE101" s="25" t="str">
        <f>IF(A101="","",IF(BZ101&lt;&gt;"ПОЛНО","BLOCK: неполная форма",IF(O101&lt;&gt;"Да","BLOCK: ввоз не разрешён",IF(P101&lt;&gt;"Да","BLOCK: документы не подтверждены",IF(ABS(AN101-1)&gt;'03_Настройки'!$B$5,"BLOCK: платежи не 100%",IF(AND(BM101&lt;&gt;"",BM101&lt;&gt;"Активна"),"BLOCK: позиция "&amp;BM101,IF(BA101&lt;&gt;"Да","PARTIAL: не покрывает потребность",IF(BB101="ДА","самый дешёвый"&amp;IF(BC101="ДА"," + быстрый","")&amp;IF(BD101="ДА"," + optimal",""),IF(BC101="ДА","самый быстрый"&amp;IF(BD101="ДА"," + optimal",""),IF(BD101="ДА","optimal","Допущен"))))))))))</f>
        <v/>
      </c>
      <c r="BF101" s="25">
        <f>ROW()</f>
        <v>101</v>
      </c>
      <c r="BG101" s="33"/>
      <c r="BH101" s="33"/>
      <c r="BI101" s="33"/>
      <c r="BJ101" s="33"/>
      <c r="BK101" s="33"/>
      <c r="BL101" s="34"/>
      <c r="BM101" s="33"/>
      <c r="BN101" s="35" t="str">
        <f t="shared" si="76"/>
        <v/>
      </c>
      <c r="BO101" s="36" t="str">
        <f t="shared" si="77"/>
        <v/>
      </c>
      <c r="BP101" s="33"/>
      <c r="BQ101" s="38"/>
      <c r="BR101" s="13"/>
      <c r="BS101" s="13"/>
      <c r="BT101" s="13"/>
      <c r="BU101" s="13"/>
      <c r="BV101" s="13"/>
      <c r="BW101" s="13"/>
      <c r="BX101" s="39" t="str">
        <f t="shared" si="78"/>
        <v/>
      </c>
      <c r="BY101" s="47"/>
      <c r="BZ101" s="48" t="str">
        <f t="shared" si="79"/>
        <v/>
      </c>
      <c r="CA101" s="47"/>
      <c r="CB101" s="47"/>
      <c r="CC101" s="47"/>
    </row>
    <row r="102" spans="1:81" ht="14.25" x14ac:dyDescent="0.45">
      <c r="A102" s="10"/>
      <c r="B102" s="10"/>
      <c r="C102" s="10"/>
      <c r="D102" s="10"/>
      <c r="E102" s="10"/>
      <c r="F102" s="10"/>
      <c r="G102" s="10"/>
      <c r="H102" s="25" t="str">
        <f>IFERROR(VLOOKUP(C102,'01_Поставщики'!$A$4:$M$11,2,FALSE()),"")</f>
        <v/>
      </c>
      <c r="I102" s="10"/>
      <c r="J102" s="25" t="str">
        <f>IFERROR(VLOOKUP(C102,'01_Поставщики'!$A$4:$M$11,8,FALSE()),"")</f>
        <v/>
      </c>
      <c r="K102" s="25" t="str">
        <f>IFERROR(VLOOKUP(C102,'01_Поставщики'!$A$4:$M$11,4,FALSE()),"")</f>
        <v/>
      </c>
      <c r="L102" s="25" t="str">
        <f>IFERROR(VLOOKUP(C102,'01_Поставщики'!$A$4:$M$11,10,FALSE()),"")</f>
        <v/>
      </c>
      <c r="M102" s="26" t="str">
        <f>IF(OR(A102="",B102=""),"",IFERROR(SUMIFS('04_Потребность'!$B$4:$B$103,'04_Потребность'!$A$4:$A$103,A102,'04_Потребность'!$C$4:$C$103,B102),0))</f>
        <v/>
      </c>
      <c r="N102" s="11"/>
      <c r="O102" s="10"/>
      <c r="P102" s="10"/>
      <c r="Q102" s="27"/>
      <c r="R102" s="27"/>
      <c r="S102" s="8"/>
      <c r="T102" s="8">
        <f>IFERROR(INDEX('02_Схемы оплаты'!$C$4:$C$19,MATCH($C102&amp;"|"&amp;$G102,'02_Схемы оплаты'!$H$4:$H$19,0)),0)</f>
        <v>0</v>
      </c>
      <c r="U102" s="11"/>
      <c r="V102" s="28"/>
      <c r="W102" s="8"/>
      <c r="X102" s="8">
        <f>IFERROR(INDEX('02_Схемы оплаты'!$D$4:$D$19,MATCH($C102&amp;"|"&amp;$G102,'02_Схемы оплаты'!$H$4:$H$19,0)),0)</f>
        <v>0</v>
      </c>
      <c r="Y102" s="11"/>
      <c r="Z102" s="28"/>
      <c r="AA102" s="8"/>
      <c r="AB102" s="8">
        <f>IFERROR(INDEX('02_Схемы оплаты'!$E$4:$E$19,MATCH($C102&amp;"|"&amp;$G102,'02_Схемы оплаты'!$H$4:$H$19,0)),0)</f>
        <v>0</v>
      </c>
      <c r="AC102" s="11"/>
      <c r="AD102" s="28"/>
      <c r="AE102" s="8"/>
      <c r="AF102" s="10"/>
      <c r="AG102" s="10"/>
      <c r="AH102" s="25">
        <f>IFERROR(SUMIFS('04_Потребность'!$D$4:$D$103,'04_Потребность'!$A$4:$A$103,A102,'04_Потребность'!$C$4:$C$103,B102),0)</f>
        <v>0</v>
      </c>
      <c r="AI102" s="26" t="str">
        <f>IF(OR(A102="",B102=""),"",IFERROR(SUMIFS('04_Потребность'!$E$4:$E$103,'04_Потребность'!$A$4:$A$103,A102,'04_Потребность'!$C$4:$C$103,B102),0))</f>
        <v/>
      </c>
      <c r="AJ102" s="25" t="str">
        <f>IF(OR(A102="",B102=""),"",IFERROR(SUMIFS('04_Потребность'!$F$4:$F$103,'04_Потребность'!$A$4:$A$103,A102,'04_Потребность'!$C$4:$C$103,B102),0))</f>
        <v/>
      </c>
      <c r="AK102" s="29" t="str">
        <f>IF(OR(A102="",B102=""),"",IFERROR(SUMIFS('04_Потребность'!$G$4:$G$103,'04_Потребность'!$A$4:$A$103,A102,'04_Потребность'!$C$4:$C$103,B102),0))</f>
        <v/>
      </c>
      <c r="AL102" s="25" t="str">
        <f>IF('03_Настройки'!$B$7="Нет","Нет",IF(COUNTIFS('04_Потребность'!$A$4:$A$103,A102,'04_Потребность'!$C$4:$C$103,B102,'04_Потребность'!$H$4:$H$103,"Да")&gt;0,"Да","Нет"))</f>
        <v>Нет</v>
      </c>
      <c r="AM102" s="30">
        <f t="shared" si="60"/>
        <v>0</v>
      </c>
      <c r="AN102" s="30">
        <f t="shared" si="61"/>
        <v>0</v>
      </c>
      <c r="AO102" s="29">
        <f t="shared" si="62"/>
        <v>0</v>
      </c>
      <c r="AP102" s="29">
        <f t="shared" si="63"/>
        <v>0</v>
      </c>
      <c r="AQ102" s="29">
        <f t="shared" si="64"/>
        <v>0</v>
      </c>
      <c r="AR102" s="29">
        <f>IFERROR(E102*'03_Настройки'!$B$4/365*(IF(T102&gt;0,T102*V102*(1+W102)*MAX(0,N102-U102),0)+IF(X102&gt;0,X102*Z102*(1+AA102)*MAX(0,N102-Y102),0)+IF(AB102&gt;0,AB102*AD102*(1+AE102)*MAX(0,N102-AC102),0)),0)</f>
        <v>0</v>
      </c>
      <c r="AS102" s="29">
        <f t="shared" si="65"/>
        <v>0</v>
      </c>
      <c r="AT102" s="31">
        <f t="shared" si="66"/>
        <v>0</v>
      </c>
      <c r="AU102" s="31">
        <f t="shared" si="67"/>
        <v>0</v>
      </c>
      <c r="AV102" s="32">
        <f t="shared" si="68"/>
        <v>0</v>
      </c>
      <c r="AW102" s="29" t="e">
        <f t="shared" si="69"/>
        <v>#VALUE!</v>
      </c>
      <c r="AX102" s="29">
        <f t="shared" si="70"/>
        <v>0</v>
      </c>
      <c r="AY102" s="29" t="e">
        <f t="shared" si="71"/>
        <v>#VALUE!</v>
      </c>
      <c r="AZ102" s="25" t="str">
        <f>IF(AND(A102&lt;&gt;"",B102&lt;&gt;"",C102&lt;&gt;"",D102&gt;0,E102&gt;0,N102&lt;&gt;"",AH102&gt;0,O102="Да",P102="Да",BZ102="ПОЛНО",ABS(AN102-1)&lt;='03_Настройки'!$B$5,IF(T102&gt;0,AND(U102&lt;&gt;"",V102&gt;0),TRUE()),IF(X102&gt;0,AND(Y102&lt;&gt;"",Z102&gt;0),TRUE()),IF(AB102&gt;0,AND(AC102&lt;&gt;"",AD102&gt;0),TRUE()),OR(BM102="",BM102="Активна")),"Да","Нет")</f>
        <v>Нет</v>
      </c>
      <c r="BA102" s="25" t="str">
        <f t="shared" si="72"/>
        <v>Нет</v>
      </c>
      <c r="BB102" s="25" t="str">
        <f t="shared" si="73"/>
        <v/>
      </c>
      <c r="BC102" s="25" t="str">
        <f t="shared" si="74"/>
        <v/>
      </c>
      <c r="BD102" s="25" t="str">
        <f t="shared" si="75"/>
        <v/>
      </c>
      <c r="BE102" s="25" t="str">
        <f>IF(A102="","",IF(BZ102&lt;&gt;"ПОЛНО","BLOCK: неполная форма",IF(O102&lt;&gt;"Да","BLOCK: ввоз не разрешён",IF(P102&lt;&gt;"Да","BLOCK: документы не подтверждены",IF(ABS(AN102-1)&gt;'03_Настройки'!$B$5,"BLOCK: платежи не 100%",IF(AND(BM102&lt;&gt;"",BM102&lt;&gt;"Активна"),"BLOCK: позиция "&amp;BM102,IF(BA102&lt;&gt;"Да","PARTIAL: не покрывает потребность",IF(BB102="ДА","самый дешёвый"&amp;IF(BC102="ДА"," + быстрый","")&amp;IF(BD102="ДА"," + optimal",""),IF(BC102="ДА","самый быстрый"&amp;IF(BD102="ДА"," + optimal",""),IF(BD102="ДА","optimal","Допущен"))))))))))</f>
        <v/>
      </c>
      <c r="BF102" s="25">
        <f>ROW()</f>
        <v>102</v>
      </c>
      <c r="BG102" s="33"/>
      <c r="BH102" s="33"/>
      <c r="BI102" s="33"/>
      <c r="BJ102" s="33"/>
      <c r="BK102" s="33"/>
      <c r="BL102" s="34"/>
      <c r="BM102" s="33"/>
      <c r="BN102" s="35" t="str">
        <f t="shared" si="76"/>
        <v/>
      </c>
      <c r="BO102" s="36" t="str">
        <f t="shared" si="77"/>
        <v/>
      </c>
      <c r="BP102" s="33"/>
      <c r="BQ102" s="38"/>
      <c r="BR102" s="13"/>
      <c r="BS102" s="13"/>
      <c r="BT102" s="13"/>
      <c r="BU102" s="13"/>
      <c r="BV102" s="13"/>
      <c r="BW102" s="13"/>
      <c r="BX102" s="39" t="str">
        <f t="shared" si="78"/>
        <v/>
      </c>
      <c r="BY102" s="47"/>
      <c r="BZ102" s="48" t="str">
        <f t="shared" si="79"/>
        <v/>
      </c>
      <c r="CA102" s="47"/>
      <c r="CB102" s="47"/>
      <c r="CC102" s="47"/>
    </row>
    <row r="103" spans="1:81" ht="14.25" x14ac:dyDescent="0.45">
      <c r="A103" s="10"/>
      <c r="B103" s="10"/>
      <c r="C103" s="10"/>
      <c r="D103" s="10"/>
      <c r="E103" s="10"/>
      <c r="F103" s="10"/>
      <c r="G103" s="10"/>
      <c r="H103" s="25" t="str">
        <f>IFERROR(VLOOKUP(C103,'01_Поставщики'!$A$4:$M$11,2,FALSE()),"")</f>
        <v/>
      </c>
      <c r="I103" s="10"/>
      <c r="J103" s="25" t="str">
        <f>IFERROR(VLOOKUP(C103,'01_Поставщики'!$A$4:$M$11,8,FALSE()),"")</f>
        <v/>
      </c>
      <c r="K103" s="25" t="str">
        <f>IFERROR(VLOOKUP(C103,'01_Поставщики'!$A$4:$M$11,4,FALSE()),"")</f>
        <v/>
      </c>
      <c r="L103" s="25" t="str">
        <f>IFERROR(VLOOKUP(C103,'01_Поставщики'!$A$4:$M$11,10,FALSE()),"")</f>
        <v/>
      </c>
      <c r="M103" s="26" t="str">
        <f>IF(OR(A103="",B103=""),"",IFERROR(SUMIFS('04_Потребность'!$B$4:$B$103,'04_Потребность'!$A$4:$A$103,A103,'04_Потребность'!$C$4:$C$103,B103),0))</f>
        <v/>
      </c>
      <c r="N103" s="11"/>
      <c r="O103" s="10"/>
      <c r="P103" s="10"/>
      <c r="Q103" s="27"/>
      <c r="R103" s="27"/>
      <c r="S103" s="8"/>
      <c r="T103" s="8">
        <f>IFERROR(INDEX('02_Схемы оплаты'!$C$4:$C$19,MATCH($C103&amp;"|"&amp;$G103,'02_Схемы оплаты'!$H$4:$H$19,0)),0)</f>
        <v>0</v>
      </c>
      <c r="U103" s="11"/>
      <c r="V103" s="28"/>
      <c r="W103" s="8"/>
      <c r="X103" s="8">
        <f>IFERROR(INDEX('02_Схемы оплаты'!$D$4:$D$19,MATCH($C103&amp;"|"&amp;$G103,'02_Схемы оплаты'!$H$4:$H$19,0)),0)</f>
        <v>0</v>
      </c>
      <c r="Y103" s="11"/>
      <c r="Z103" s="28"/>
      <c r="AA103" s="8"/>
      <c r="AB103" s="8">
        <f>IFERROR(INDEX('02_Схемы оплаты'!$E$4:$E$19,MATCH($C103&amp;"|"&amp;$G103,'02_Схемы оплаты'!$H$4:$H$19,0)),0)</f>
        <v>0</v>
      </c>
      <c r="AC103" s="11"/>
      <c r="AD103" s="28"/>
      <c r="AE103" s="8"/>
      <c r="AF103" s="10"/>
      <c r="AG103" s="10"/>
      <c r="AH103" s="25">
        <f>IFERROR(SUMIFS('04_Потребность'!$D$4:$D$103,'04_Потребность'!$A$4:$A$103,A103,'04_Потребность'!$C$4:$C$103,B103),0)</f>
        <v>0</v>
      </c>
      <c r="AI103" s="26" t="str">
        <f>IF(OR(A103="",B103=""),"",IFERROR(SUMIFS('04_Потребность'!$E$4:$E$103,'04_Потребность'!$A$4:$A$103,A103,'04_Потребность'!$C$4:$C$103,B103),0))</f>
        <v/>
      </c>
      <c r="AJ103" s="25" t="str">
        <f>IF(OR(A103="",B103=""),"",IFERROR(SUMIFS('04_Потребность'!$F$4:$F$103,'04_Потребность'!$A$4:$A$103,A103,'04_Потребность'!$C$4:$C$103,B103),0))</f>
        <v/>
      </c>
      <c r="AK103" s="29" t="str">
        <f>IF(OR(A103="",B103=""),"",IFERROR(SUMIFS('04_Потребность'!$G$4:$G$103,'04_Потребность'!$A$4:$A$103,A103,'04_Потребность'!$C$4:$C$103,B103),0))</f>
        <v/>
      </c>
      <c r="AL103" s="25" t="str">
        <f>IF('03_Настройки'!$B$7="Нет","Нет",IF(COUNTIFS('04_Потребность'!$A$4:$A$103,A103,'04_Потребность'!$C$4:$C$103,B103,'04_Потребность'!$H$4:$H$103,"Да")&gt;0,"Да","Нет"))</f>
        <v>Нет</v>
      </c>
      <c r="AM103" s="30">
        <f t="shared" si="60"/>
        <v>0</v>
      </c>
      <c r="AN103" s="30">
        <f t="shared" si="61"/>
        <v>0</v>
      </c>
      <c r="AO103" s="29">
        <f t="shared" si="62"/>
        <v>0</v>
      </c>
      <c r="AP103" s="29">
        <f t="shared" si="63"/>
        <v>0</v>
      </c>
      <c r="AQ103" s="29">
        <f t="shared" si="64"/>
        <v>0</v>
      </c>
      <c r="AR103" s="29">
        <f>IFERROR(E103*'03_Настройки'!$B$4/365*(IF(T103&gt;0,T103*V103*(1+W103)*MAX(0,N103-U103),0)+IF(X103&gt;0,X103*Z103*(1+AA103)*MAX(0,N103-Y103),0)+IF(AB103&gt;0,AB103*AD103*(1+AE103)*MAX(0,N103-AC103),0)),0)</f>
        <v>0</v>
      </c>
      <c r="AS103" s="29">
        <f t="shared" si="65"/>
        <v>0</v>
      </c>
      <c r="AT103" s="31">
        <f t="shared" si="66"/>
        <v>0</v>
      </c>
      <c r="AU103" s="31">
        <f t="shared" si="67"/>
        <v>0</v>
      </c>
      <c r="AV103" s="32">
        <f t="shared" si="68"/>
        <v>0</v>
      </c>
      <c r="AW103" s="29" t="e">
        <f t="shared" si="69"/>
        <v>#VALUE!</v>
      </c>
      <c r="AX103" s="29">
        <f t="shared" si="70"/>
        <v>0</v>
      </c>
      <c r="AY103" s="29" t="e">
        <f t="shared" si="71"/>
        <v>#VALUE!</v>
      </c>
      <c r="AZ103" s="25" t="str">
        <f>IF(AND(A103&lt;&gt;"",B103&lt;&gt;"",C103&lt;&gt;"",D103&gt;0,E103&gt;0,N103&lt;&gt;"",AH103&gt;0,O103="Да",P103="Да",BZ103="ПОЛНО",ABS(AN103-1)&lt;='03_Настройки'!$B$5,IF(T103&gt;0,AND(U103&lt;&gt;"",V103&gt;0),TRUE()),IF(X103&gt;0,AND(Y103&lt;&gt;"",Z103&gt;0),TRUE()),IF(AB103&gt;0,AND(AC103&lt;&gt;"",AD103&gt;0),TRUE()),OR(BM103="",BM103="Активна")),"Да","Нет")</f>
        <v>Нет</v>
      </c>
      <c r="BA103" s="25" t="str">
        <f t="shared" si="72"/>
        <v>Нет</v>
      </c>
      <c r="BB103" s="25" t="str">
        <f t="shared" si="73"/>
        <v/>
      </c>
      <c r="BC103" s="25" t="str">
        <f t="shared" si="74"/>
        <v/>
      </c>
      <c r="BD103" s="25" t="str">
        <f t="shared" si="75"/>
        <v/>
      </c>
      <c r="BE103" s="25" t="str">
        <f>IF(A103="","",IF(BZ103&lt;&gt;"ПОЛНО","BLOCK: неполная форма",IF(O103&lt;&gt;"Да","BLOCK: ввоз не разрешён",IF(P103&lt;&gt;"Да","BLOCK: документы не подтверждены",IF(ABS(AN103-1)&gt;'03_Настройки'!$B$5,"BLOCK: платежи не 100%",IF(AND(BM103&lt;&gt;"",BM103&lt;&gt;"Активна"),"BLOCK: позиция "&amp;BM103,IF(BA103&lt;&gt;"Да","PARTIAL: не покрывает потребность",IF(BB103="ДА","самый дешёвый"&amp;IF(BC103="ДА"," + быстрый","")&amp;IF(BD103="ДА"," + optimal",""),IF(BC103="ДА","самый быстрый"&amp;IF(BD103="ДА"," + optimal",""),IF(BD103="ДА","optimal","Допущен"))))))))))</f>
        <v/>
      </c>
      <c r="BF103" s="25">
        <f>ROW()</f>
        <v>103</v>
      </c>
      <c r="BG103" s="33"/>
      <c r="BH103" s="33"/>
      <c r="BI103" s="33"/>
      <c r="BJ103" s="33"/>
      <c r="BK103" s="33"/>
      <c r="BL103" s="34"/>
      <c r="BM103" s="33"/>
      <c r="BN103" s="35" t="str">
        <f t="shared" si="76"/>
        <v/>
      </c>
      <c r="BO103" s="36" t="str">
        <f t="shared" si="77"/>
        <v/>
      </c>
      <c r="BP103" s="33"/>
      <c r="BQ103" s="38"/>
      <c r="BR103" s="13"/>
      <c r="BS103" s="13"/>
      <c r="BT103" s="13"/>
      <c r="BU103" s="13"/>
      <c r="BV103" s="13"/>
      <c r="BW103" s="13"/>
      <c r="BX103" s="39" t="str">
        <f t="shared" si="78"/>
        <v/>
      </c>
      <c r="BY103" s="47"/>
      <c r="BZ103" s="48" t="str">
        <f t="shared" si="79"/>
        <v/>
      </c>
      <c r="CA103" s="47"/>
      <c r="CB103" s="47"/>
      <c r="CC103" s="47"/>
    </row>
    <row r="104" spans="1:81" ht="14.25" x14ac:dyDescent="0.45">
      <c r="A104" s="10"/>
      <c r="B104" s="10"/>
      <c r="C104" s="10"/>
      <c r="D104" s="10"/>
      <c r="E104" s="10"/>
      <c r="F104" s="10"/>
      <c r="G104" s="10"/>
      <c r="H104" s="25" t="str">
        <f>IFERROR(VLOOKUP(C104,'01_Поставщики'!$A$4:$M$11,2,FALSE()),"")</f>
        <v/>
      </c>
      <c r="I104" s="10"/>
      <c r="J104" s="25" t="str">
        <f>IFERROR(VLOOKUP(C104,'01_Поставщики'!$A$4:$M$11,8,FALSE()),"")</f>
        <v/>
      </c>
      <c r="K104" s="25" t="str">
        <f>IFERROR(VLOOKUP(C104,'01_Поставщики'!$A$4:$M$11,4,FALSE()),"")</f>
        <v/>
      </c>
      <c r="L104" s="25" t="str">
        <f>IFERROR(VLOOKUP(C104,'01_Поставщики'!$A$4:$M$11,10,FALSE()),"")</f>
        <v/>
      </c>
      <c r="M104" s="26" t="str">
        <f>IF(OR(A104="",B104=""),"",IFERROR(SUMIFS('04_Потребность'!$B$4:$B$103,'04_Потребность'!$A$4:$A$103,A104,'04_Потребность'!$C$4:$C$103,B104),0))</f>
        <v/>
      </c>
      <c r="N104" s="11"/>
      <c r="O104" s="10"/>
      <c r="P104" s="10"/>
      <c r="Q104" s="27"/>
      <c r="R104" s="27"/>
      <c r="S104" s="8"/>
      <c r="T104" s="8">
        <f>IFERROR(INDEX('02_Схемы оплаты'!$C$4:$C$19,MATCH($C104&amp;"|"&amp;$G104,'02_Схемы оплаты'!$H$4:$H$19,0)),0)</f>
        <v>0</v>
      </c>
      <c r="U104" s="11"/>
      <c r="V104" s="28"/>
      <c r="W104" s="8"/>
      <c r="X104" s="8">
        <f>IFERROR(INDEX('02_Схемы оплаты'!$D$4:$D$19,MATCH($C104&amp;"|"&amp;$G104,'02_Схемы оплаты'!$H$4:$H$19,0)),0)</f>
        <v>0</v>
      </c>
      <c r="Y104" s="11"/>
      <c r="Z104" s="28"/>
      <c r="AA104" s="8"/>
      <c r="AB104" s="8">
        <f>IFERROR(INDEX('02_Схемы оплаты'!$E$4:$E$19,MATCH($C104&amp;"|"&amp;$G104,'02_Схемы оплаты'!$H$4:$H$19,0)),0)</f>
        <v>0</v>
      </c>
      <c r="AC104" s="11"/>
      <c r="AD104" s="28"/>
      <c r="AE104" s="8"/>
      <c r="AF104" s="10"/>
      <c r="AG104" s="10"/>
      <c r="AH104" s="25">
        <f>IFERROR(SUMIFS('04_Потребность'!$D$4:$D$103,'04_Потребность'!$A$4:$A$103,A104,'04_Потребность'!$C$4:$C$103,B104),0)</f>
        <v>0</v>
      </c>
      <c r="AI104" s="26" t="str">
        <f>IF(OR(A104="",B104=""),"",IFERROR(SUMIFS('04_Потребность'!$E$4:$E$103,'04_Потребность'!$A$4:$A$103,A104,'04_Потребность'!$C$4:$C$103,B104),0))</f>
        <v/>
      </c>
      <c r="AJ104" s="25" t="str">
        <f>IF(OR(A104="",B104=""),"",IFERROR(SUMIFS('04_Потребность'!$F$4:$F$103,'04_Потребность'!$A$4:$A$103,A104,'04_Потребность'!$C$4:$C$103,B104),0))</f>
        <v/>
      </c>
      <c r="AK104" s="29" t="str">
        <f>IF(OR(A104="",B104=""),"",IFERROR(SUMIFS('04_Потребность'!$G$4:$G$103,'04_Потребность'!$A$4:$A$103,A104,'04_Потребность'!$C$4:$C$103,B104),0))</f>
        <v/>
      </c>
      <c r="AL104" s="25" t="str">
        <f>IF('03_Настройки'!$B$7="Нет","Нет",IF(COUNTIFS('04_Потребность'!$A$4:$A$103,A104,'04_Потребность'!$C$4:$C$103,B104,'04_Потребность'!$H$4:$H$103,"Да")&gt;0,"Да","Нет"))</f>
        <v>Нет</v>
      </c>
      <c r="AM104" s="30">
        <f t="shared" si="60"/>
        <v>0</v>
      </c>
      <c r="AN104" s="30">
        <f t="shared" si="61"/>
        <v>0</v>
      </c>
      <c r="AO104" s="29">
        <f t="shared" si="62"/>
        <v>0</v>
      </c>
      <c r="AP104" s="29">
        <f t="shared" si="63"/>
        <v>0</v>
      </c>
      <c r="AQ104" s="29">
        <f t="shared" si="64"/>
        <v>0</v>
      </c>
      <c r="AR104" s="29">
        <f>IFERROR(E104*'03_Настройки'!$B$4/365*(IF(T104&gt;0,T104*V104*(1+W104)*MAX(0,N104-U104),0)+IF(X104&gt;0,X104*Z104*(1+AA104)*MAX(0,N104-Y104),0)+IF(AB104&gt;0,AB104*AD104*(1+AE104)*MAX(0,N104-AC104),0)),0)</f>
        <v>0</v>
      </c>
      <c r="AS104" s="29">
        <f t="shared" si="65"/>
        <v>0</v>
      </c>
      <c r="AT104" s="31">
        <f t="shared" si="66"/>
        <v>0</v>
      </c>
      <c r="AU104" s="31">
        <f t="shared" si="67"/>
        <v>0</v>
      </c>
      <c r="AV104" s="32">
        <f t="shared" si="68"/>
        <v>0</v>
      </c>
      <c r="AW104" s="29" t="e">
        <f t="shared" si="69"/>
        <v>#VALUE!</v>
      </c>
      <c r="AX104" s="29">
        <f t="shared" si="70"/>
        <v>0</v>
      </c>
      <c r="AY104" s="29" t="e">
        <f t="shared" si="71"/>
        <v>#VALUE!</v>
      </c>
      <c r="AZ104" s="25" t="str">
        <f>IF(AND(A104&lt;&gt;"",B104&lt;&gt;"",C104&lt;&gt;"",D104&gt;0,E104&gt;0,N104&lt;&gt;"",AH104&gt;0,O104="Да",P104="Да",BZ104="ПОЛНО",ABS(AN104-1)&lt;='03_Настройки'!$B$5,IF(T104&gt;0,AND(U104&lt;&gt;"",V104&gt;0),TRUE()),IF(X104&gt;0,AND(Y104&lt;&gt;"",Z104&gt;0),TRUE()),IF(AB104&gt;0,AND(AC104&lt;&gt;"",AD104&gt;0),TRUE()),OR(BM104="",BM104="Активна")),"Да","Нет")</f>
        <v>Нет</v>
      </c>
      <c r="BA104" s="25" t="str">
        <f t="shared" si="72"/>
        <v>Нет</v>
      </c>
      <c r="BB104" s="25" t="str">
        <f t="shared" si="73"/>
        <v/>
      </c>
      <c r="BC104" s="25" t="str">
        <f t="shared" si="74"/>
        <v/>
      </c>
      <c r="BD104" s="25" t="str">
        <f t="shared" si="75"/>
        <v/>
      </c>
      <c r="BE104" s="25" t="str">
        <f>IF(A104="","",IF(BZ104&lt;&gt;"ПОЛНО","BLOCK: неполная форма",IF(O104&lt;&gt;"Да","BLOCK: ввоз не разрешён",IF(P104&lt;&gt;"Да","BLOCK: документы не подтверждены",IF(ABS(AN104-1)&gt;'03_Настройки'!$B$5,"BLOCK: платежи не 100%",IF(AND(BM104&lt;&gt;"",BM104&lt;&gt;"Активна"),"BLOCK: позиция "&amp;BM104,IF(BA104&lt;&gt;"Да","PARTIAL: не покрывает потребность",IF(BB104="ДА","самый дешёвый"&amp;IF(BC104="ДА"," + быстрый","")&amp;IF(BD104="ДА"," + optimal",""),IF(BC104="ДА","самый быстрый"&amp;IF(BD104="ДА"," + optimal",""),IF(BD104="ДА","optimal","Допущен"))))))))))</f>
        <v/>
      </c>
      <c r="BF104" s="25">
        <f>ROW()</f>
        <v>104</v>
      </c>
      <c r="BG104" s="33"/>
      <c r="BH104" s="33"/>
      <c r="BI104" s="33"/>
      <c r="BJ104" s="33"/>
      <c r="BK104" s="33"/>
      <c r="BL104" s="34"/>
      <c r="BM104" s="33"/>
      <c r="BN104" s="35" t="str">
        <f t="shared" si="76"/>
        <v/>
      </c>
      <c r="BO104" s="36" t="str">
        <f t="shared" si="77"/>
        <v/>
      </c>
      <c r="BP104" s="33"/>
      <c r="BQ104" s="38"/>
      <c r="BR104" s="13"/>
      <c r="BS104" s="13"/>
      <c r="BT104" s="13"/>
      <c r="BU104" s="13"/>
      <c r="BV104" s="13"/>
      <c r="BW104" s="13"/>
      <c r="BX104" s="39" t="str">
        <f t="shared" si="78"/>
        <v/>
      </c>
      <c r="BY104" s="47"/>
      <c r="BZ104" s="48" t="str">
        <f t="shared" si="79"/>
        <v/>
      </c>
      <c r="CA104" s="47"/>
      <c r="CB104" s="47"/>
      <c r="CC104" s="47"/>
    </row>
    <row r="105" spans="1:81" ht="14.25" x14ac:dyDescent="0.45">
      <c r="A105" s="10"/>
      <c r="B105" s="10"/>
      <c r="C105" s="10"/>
      <c r="D105" s="10"/>
      <c r="E105" s="10"/>
      <c r="F105" s="10"/>
      <c r="G105" s="10"/>
      <c r="H105" s="25" t="str">
        <f>IFERROR(VLOOKUP(C105,'01_Поставщики'!$A$4:$M$11,2,FALSE()),"")</f>
        <v/>
      </c>
      <c r="I105" s="10"/>
      <c r="J105" s="25" t="str">
        <f>IFERROR(VLOOKUP(C105,'01_Поставщики'!$A$4:$M$11,8,FALSE()),"")</f>
        <v/>
      </c>
      <c r="K105" s="25" t="str">
        <f>IFERROR(VLOOKUP(C105,'01_Поставщики'!$A$4:$M$11,4,FALSE()),"")</f>
        <v/>
      </c>
      <c r="L105" s="25" t="str">
        <f>IFERROR(VLOOKUP(C105,'01_Поставщики'!$A$4:$M$11,10,FALSE()),"")</f>
        <v/>
      </c>
      <c r="M105" s="26" t="str">
        <f>IF(OR(A105="",B105=""),"",IFERROR(SUMIFS('04_Потребность'!$B$4:$B$103,'04_Потребность'!$A$4:$A$103,A105,'04_Потребность'!$C$4:$C$103,B105),0))</f>
        <v/>
      </c>
      <c r="N105" s="11"/>
      <c r="O105" s="10"/>
      <c r="P105" s="10"/>
      <c r="Q105" s="27"/>
      <c r="R105" s="27"/>
      <c r="S105" s="8"/>
      <c r="T105" s="8">
        <f>IFERROR(INDEX('02_Схемы оплаты'!$C$4:$C$19,MATCH($C105&amp;"|"&amp;$G105,'02_Схемы оплаты'!$H$4:$H$19,0)),0)</f>
        <v>0</v>
      </c>
      <c r="U105" s="11"/>
      <c r="V105" s="28"/>
      <c r="W105" s="8"/>
      <c r="X105" s="8">
        <f>IFERROR(INDEX('02_Схемы оплаты'!$D$4:$D$19,MATCH($C105&amp;"|"&amp;$G105,'02_Схемы оплаты'!$H$4:$H$19,0)),0)</f>
        <v>0</v>
      </c>
      <c r="Y105" s="11"/>
      <c r="Z105" s="28"/>
      <c r="AA105" s="8"/>
      <c r="AB105" s="8">
        <f>IFERROR(INDEX('02_Схемы оплаты'!$E$4:$E$19,MATCH($C105&amp;"|"&amp;$G105,'02_Схемы оплаты'!$H$4:$H$19,0)),0)</f>
        <v>0</v>
      </c>
      <c r="AC105" s="11"/>
      <c r="AD105" s="28"/>
      <c r="AE105" s="8"/>
      <c r="AF105" s="10"/>
      <c r="AG105" s="10"/>
      <c r="AH105" s="25">
        <f>IFERROR(SUMIFS('04_Потребность'!$D$4:$D$103,'04_Потребность'!$A$4:$A$103,A105,'04_Потребность'!$C$4:$C$103,B105),0)</f>
        <v>0</v>
      </c>
      <c r="AI105" s="26" t="str">
        <f>IF(OR(A105="",B105=""),"",IFERROR(SUMIFS('04_Потребность'!$E$4:$E$103,'04_Потребность'!$A$4:$A$103,A105,'04_Потребность'!$C$4:$C$103,B105),0))</f>
        <v/>
      </c>
      <c r="AJ105" s="25" t="str">
        <f>IF(OR(A105="",B105=""),"",IFERROR(SUMIFS('04_Потребность'!$F$4:$F$103,'04_Потребность'!$A$4:$A$103,A105,'04_Потребность'!$C$4:$C$103,B105),0))</f>
        <v/>
      </c>
      <c r="AK105" s="29" t="str">
        <f>IF(OR(A105="",B105=""),"",IFERROR(SUMIFS('04_Потребность'!$G$4:$G$103,'04_Потребность'!$A$4:$A$103,A105,'04_Потребность'!$C$4:$C$103,B105),0))</f>
        <v/>
      </c>
      <c r="AL105" s="25" t="str">
        <f>IF('03_Настройки'!$B$7="Нет","Нет",IF(COUNTIFS('04_Потребность'!$A$4:$A$103,A105,'04_Потребность'!$C$4:$C$103,B105,'04_Потребность'!$H$4:$H$103,"Да")&gt;0,"Да","Нет"))</f>
        <v>Нет</v>
      </c>
      <c r="AM105" s="30">
        <f t="shared" si="60"/>
        <v>0</v>
      </c>
      <c r="AN105" s="30">
        <f t="shared" si="61"/>
        <v>0</v>
      </c>
      <c r="AO105" s="29">
        <f t="shared" si="62"/>
        <v>0</v>
      </c>
      <c r="AP105" s="29">
        <f t="shared" si="63"/>
        <v>0</v>
      </c>
      <c r="AQ105" s="29">
        <f t="shared" si="64"/>
        <v>0</v>
      </c>
      <c r="AR105" s="29">
        <f>IFERROR(E105*'03_Настройки'!$B$4/365*(IF(T105&gt;0,T105*V105*(1+W105)*MAX(0,N105-U105),0)+IF(X105&gt;0,X105*Z105*(1+AA105)*MAX(0,N105-Y105),0)+IF(AB105&gt;0,AB105*AD105*(1+AE105)*MAX(0,N105-AC105),0)),0)</f>
        <v>0</v>
      </c>
      <c r="AS105" s="29">
        <f t="shared" si="65"/>
        <v>0</v>
      </c>
      <c r="AT105" s="31">
        <f t="shared" si="66"/>
        <v>0</v>
      </c>
      <c r="AU105" s="31">
        <f t="shared" si="67"/>
        <v>0</v>
      </c>
      <c r="AV105" s="32">
        <f t="shared" si="68"/>
        <v>0</v>
      </c>
      <c r="AW105" s="29" t="e">
        <f t="shared" si="69"/>
        <v>#VALUE!</v>
      </c>
      <c r="AX105" s="29">
        <f t="shared" si="70"/>
        <v>0</v>
      </c>
      <c r="AY105" s="29" t="e">
        <f t="shared" si="71"/>
        <v>#VALUE!</v>
      </c>
      <c r="AZ105" s="25" t="str">
        <f>IF(AND(A105&lt;&gt;"",B105&lt;&gt;"",C105&lt;&gt;"",D105&gt;0,E105&gt;0,N105&lt;&gt;"",AH105&gt;0,O105="Да",P105="Да",BZ105="ПОЛНО",ABS(AN105-1)&lt;='03_Настройки'!$B$5,IF(T105&gt;0,AND(U105&lt;&gt;"",V105&gt;0),TRUE()),IF(X105&gt;0,AND(Y105&lt;&gt;"",Z105&gt;0),TRUE()),IF(AB105&gt;0,AND(AC105&lt;&gt;"",AD105&gt;0),TRUE()),OR(BM105="",BM105="Активна")),"Да","Нет")</f>
        <v>Нет</v>
      </c>
      <c r="BA105" s="25" t="str">
        <f t="shared" si="72"/>
        <v>Нет</v>
      </c>
      <c r="BB105" s="25" t="str">
        <f t="shared" si="73"/>
        <v/>
      </c>
      <c r="BC105" s="25" t="str">
        <f t="shared" si="74"/>
        <v/>
      </c>
      <c r="BD105" s="25" t="str">
        <f t="shared" si="75"/>
        <v/>
      </c>
      <c r="BE105" s="25" t="str">
        <f>IF(A105="","",IF(BZ105&lt;&gt;"ПОЛНО","BLOCK: неполная форма",IF(O105&lt;&gt;"Да","BLOCK: ввоз не разрешён",IF(P105&lt;&gt;"Да","BLOCK: документы не подтверждены",IF(ABS(AN105-1)&gt;'03_Настройки'!$B$5,"BLOCK: платежи не 100%",IF(AND(BM105&lt;&gt;"",BM105&lt;&gt;"Активна"),"BLOCK: позиция "&amp;BM105,IF(BA105&lt;&gt;"Да","PARTIAL: не покрывает потребность",IF(BB105="ДА","самый дешёвый"&amp;IF(BC105="ДА"," + быстрый","")&amp;IF(BD105="ДА"," + optimal",""),IF(BC105="ДА","самый быстрый"&amp;IF(BD105="ДА"," + optimal",""),IF(BD105="ДА","optimal","Допущен"))))))))))</f>
        <v/>
      </c>
      <c r="BF105" s="25">
        <f>ROW()</f>
        <v>105</v>
      </c>
      <c r="BG105" s="33"/>
      <c r="BH105" s="33"/>
      <c r="BI105" s="33"/>
      <c r="BJ105" s="33"/>
      <c r="BK105" s="33"/>
      <c r="BL105" s="34"/>
      <c r="BM105" s="33"/>
      <c r="BN105" s="35" t="str">
        <f t="shared" si="76"/>
        <v/>
      </c>
      <c r="BO105" s="36" t="str">
        <f t="shared" si="77"/>
        <v/>
      </c>
      <c r="BP105" s="33"/>
      <c r="BQ105" s="38"/>
      <c r="BR105" s="13"/>
      <c r="BS105" s="13"/>
      <c r="BT105" s="13"/>
      <c r="BU105" s="13"/>
      <c r="BV105" s="13"/>
      <c r="BW105" s="13"/>
      <c r="BX105" s="39" t="str">
        <f t="shared" si="78"/>
        <v/>
      </c>
      <c r="BY105" s="47"/>
      <c r="BZ105" s="48" t="str">
        <f t="shared" si="79"/>
        <v/>
      </c>
      <c r="CA105" s="47"/>
      <c r="CB105" s="47"/>
      <c r="CC105" s="47"/>
    </row>
    <row r="106" spans="1:81" ht="14.25" x14ac:dyDescent="0.45">
      <c r="A106" s="10"/>
      <c r="B106" s="10"/>
      <c r="C106" s="10"/>
      <c r="D106" s="10"/>
      <c r="E106" s="10"/>
      <c r="F106" s="10"/>
      <c r="G106" s="10"/>
      <c r="H106" s="25" t="str">
        <f>IFERROR(VLOOKUP(C106,'01_Поставщики'!$A$4:$M$11,2,FALSE()),"")</f>
        <v/>
      </c>
      <c r="I106" s="10"/>
      <c r="J106" s="25" t="str">
        <f>IFERROR(VLOOKUP(C106,'01_Поставщики'!$A$4:$M$11,8,FALSE()),"")</f>
        <v/>
      </c>
      <c r="K106" s="25" t="str">
        <f>IFERROR(VLOOKUP(C106,'01_Поставщики'!$A$4:$M$11,4,FALSE()),"")</f>
        <v/>
      </c>
      <c r="L106" s="25" t="str">
        <f>IFERROR(VLOOKUP(C106,'01_Поставщики'!$A$4:$M$11,10,FALSE()),"")</f>
        <v/>
      </c>
      <c r="M106" s="26" t="str">
        <f>IF(OR(A106="",B106=""),"",IFERROR(SUMIFS('04_Потребность'!$B$4:$B$103,'04_Потребность'!$A$4:$A$103,A106,'04_Потребность'!$C$4:$C$103,B106),0))</f>
        <v/>
      </c>
      <c r="N106" s="11"/>
      <c r="O106" s="10"/>
      <c r="P106" s="10"/>
      <c r="Q106" s="27"/>
      <c r="R106" s="27"/>
      <c r="S106" s="8"/>
      <c r="T106" s="8">
        <f>IFERROR(INDEX('02_Схемы оплаты'!$C$4:$C$19,MATCH($C106&amp;"|"&amp;$G106,'02_Схемы оплаты'!$H$4:$H$19,0)),0)</f>
        <v>0</v>
      </c>
      <c r="U106" s="11"/>
      <c r="V106" s="28"/>
      <c r="W106" s="8"/>
      <c r="X106" s="8">
        <f>IFERROR(INDEX('02_Схемы оплаты'!$D$4:$D$19,MATCH($C106&amp;"|"&amp;$G106,'02_Схемы оплаты'!$H$4:$H$19,0)),0)</f>
        <v>0</v>
      </c>
      <c r="Y106" s="11"/>
      <c r="Z106" s="28"/>
      <c r="AA106" s="8"/>
      <c r="AB106" s="8">
        <f>IFERROR(INDEX('02_Схемы оплаты'!$E$4:$E$19,MATCH($C106&amp;"|"&amp;$G106,'02_Схемы оплаты'!$H$4:$H$19,0)),0)</f>
        <v>0</v>
      </c>
      <c r="AC106" s="11"/>
      <c r="AD106" s="28"/>
      <c r="AE106" s="8"/>
      <c r="AF106" s="10"/>
      <c r="AG106" s="10"/>
      <c r="AH106" s="25">
        <f>IFERROR(SUMIFS('04_Потребность'!$D$4:$D$103,'04_Потребность'!$A$4:$A$103,A106,'04_Потребность'!$C$4:$C$103,B106),0)</f>
        <v>0</v>
      </c>
      <c r="AI106" s="26" t="str">
        <f>IF(OR(A106="",B106=""),"",IFERROR(SUMIFS('04_Потребность'!$E$4:$E$103,'04_Потребность'!$A$4:$A$103,A106,'04_Потребность'!$C$4:$C$103,B106),0))</f>
        <v/>
      </c>
      <c r="AJ106" s="25" t="str">
        <f>IF(OR(A106="",B106=""),"",IFERROR(SUMIFS('04_Потребность'!$F$4:$F$103,'04_Потребность'!$A$4:$A$103,A106,'04_Потребность'!$C$4:$C$103,B106),0))</f>
        <v/>
      </c>
      <c r="AK106" s="29" t="str">
        <f>IF(OR(A106="",B106=""),"",IFERROR(SUMIFS('04_Потребность'!$G$4:$G$103,'04_Потребность'!$A$4:$A$103,A106,'04_Потребность'!$C$4:$C$103,B106),0))</f>
        <v/>
      </c>
      <c r="AL106" s="25" t="str">
        <f>IF('03_Настройки'!$B$7="Нет","Нет",IF(COUNTIFS('04_Потребность'!$A$4:$A$103,A106,'04_Потребность'!$C$4:$C$103,B106,'04_Потребность'!$H$4:$H$103,"Да")&gt;0,"Да","Нет"))</f>
        <v>Нет</v>
      </c>
      <c r="AM106" s="30">
        <f t="shared" si="60"/>
        <v>0</v>
      </c>
      <c r="AN106" s="30">
        <f t="shared" si="61"/>
        <v>0</v>
      </c>
      <c r="AO106" s="29">
        <f t="shared" si="62"/>
        <v>0</v>
      </c>
      <c r="AP106" s="29">
        <f t="shared" si="63"/>
        <v>0</v>
      </c>
      <c r="AQ106" s="29">
        <f t="shared" si="64"/>
        <v>0</v>
      </c>
      <c r="AR106" s="29">
        <f>IFERROR(E106*'03_Настройки'!$B$4/365*(IF(T106&gt;0,T106*V106*(1+W106)*MAX(0,N106-U106),0)+IF(X106&gt;0,X106*Z106*(1+AA106)*MAX(0,N106-Y106),0)+IF(AB106&gt;0,AB106*AD106*(1+AE106)*MAX(0,N106-AC106),0)),0)</f>
        <v>0</v>
      </c>
      <c r="AS106" s="29">
        <f t="shared" si="65"/>
        <v>0</v>
      </c>
      <c r="AT106" s="31">
        <f t="shared" si="66"/>
        <v>0</v>
      </c>
      <c r="AU106" s="31">
        <f t="shared" si="67"/>
        <v>0</v>
      </c>
      <c r="AV106" s="32">
        <f t="shared" si="68"/>
        <v>0</v>
      </c>
      <c r="AW106" s="29" t="e">
        <f t="shared" si="69"/>
        <v>#VALUE!</v>
      </c>
      <c r="AX106" s="29">
        <f t="shared" si="70"/>
        <v>0</v>
      </c>
      <c r="AY106" s="29" t="e">
        <f t="shared" si="71"/>
        <v>#VALUE!</v>
      </c>
      <c r="AZ106" s="25" t="str">
        <f>IF(AND(A106&lt;&gt;"",B106&lt;&gt;"",C106&lt;&gt;"",D106&gt;0,E106&gt;0,N106&lt;&gt;"",AH106&gt;0,O106="Да",P106="Да",BZ106="ПОЛНО",ABS(AN106-1)&lt;='03_Настройки'!$B$5,IF(T106&gt;0,AND(U106&lt;&gt;"",V106&gt;0),TRUE()),IF(X106&gt;0,AND(Y106&lt;&gt;"",Z106&gt;0),TRUE()),IF(AB106&gt;0,AND(AC106&lt;&gt;"",AD106&gt;0),TRUE()),OR(BM106="",BM106="Активна")),"Да","Нет")</f>
        <v>Нет</v>
      </c>
      <c r="BA106" s="25" t="str">
        <f t="shared" si="72"/>
        <v>Нет</v>
      </c>
      <c r="BB106" s="25" t="str">
        <f t="shared" si="73"/>
        <v/>
      </c>
      <c r="BC106" s="25" t="str">
        <f t="shared" si="74"/>
        <v/>
      </c>
      <c r="BD106" s="25" t="str">
        <f t="shared" si="75"/>
        <v/>
      </c>
      <c r="BE106" s="25" t="str">
        <f>IF(A106="","",IF(BZ106&lt;&gt;"ПОЛНО","BLOCK: неполная форма",IF(O106&lt;&gt;"Да","BLOCK: ввоз не разрешён",IF(P106&lt;&gt;"Да","BLOCK: документы не подтверждены",IF(ABS(AN106-1)&gt;'03_Настройки'!$B$5,"BLOCK: платежи не 100%",IF(AND(BM106&lt;&gt;"",BM106&lt;&gt;"Активна"),"BLOCK: позиция "&amp;BM106,IF(BA106&lt;&gt;"Да","PARTIAL: не покрывает потребность",IF(BB106="ДА","самый дешёвый"&amp;IF(BC106="ДА"," + быстрый","")&amp;IF(BD106="ДА"," + optimal",""),IF(BC106="ДА","самый быстрый"&amp;IF(BD106="ДА"," + optimal",""),IF(BD106="ДА","optimal","Допущен"))))))))))</f>
        <v/>
      </c>
      <c r="BF106" s="25">
        <f>ROW()</f>
        <v>106</v>
      </c>
      <c r="BG106" s="33"/>
      <c r="BH106" s="33"/>
      <c r="BI106" s="33"/>
      <c r="BJ106" s="33"/>
      <c r="BK106" s="33"/>
      <c r="BL106" s="34"/>
      <c r="BM106" s="33"/>
      <c r="BN106" s="35" t="str">
        <f t="shared" si="76"/>
        <v/>
      </c>
      <c r="BO106" s="36" t="str">
        <f t="shared" si="77"/>
        <v/>
      </c>
      <c r="BP106" s="33"/>
      <c r="BQ106" s="38"/>
      <c r="BR106" s="13"/>
      <c r="BS106" s="13"/>
      <c r="BT106" s="13"/>
      <c r="BU106" s="13"/>
      <c r="BV106" s="13"/>
      <c r="BW106" s="13"/>
      <c r="BX106" s="39" t="str">
        <f t="shared" si="78"/>
        <v/>
      </c>
      <c r="BY106" s="47"/>
      <c r="BZ106" s="48" t="str">
        <f t="shared" si="79"/>
        <v/>
      </c>
      <c r="CA106" s="47"/>
      <c r="CB106" s="47"/>
      <c r="CC106" s="47"/>
    </row>
    <row r="107" spans="1:81" ht="14.25" x14ac:dyDescent="0.45">
      <c r="A107" s="10"/>
      <c r="B107" s="10"/>
      <c r="C107" s="10"/>
      <c r="D107" s="10"/>
      <c r="E107" s="10"/>
      <c r="F107" s="10"/>
      <c r="G107" s="10"/>
      <c r="H107" s="25" t="str">
        <f>IFERROR(VLOOKUP(C107,'01_Поставщики'!$A$4:$M$11,2,FALSE()),"")</f>
        <v/>
      </c>
      <c r="I107" s="10"/>
      <c r="J107" s="25" t="str">
        <f>IFERROR(VLOOKUP(C107,'01_Поставщики'!$A$4:$M$11,8,FALSE()),"")</f>
        <v/>
      </c>
      <c r="K107" s="25" t="str">
        <f>IFERROR(VLOOKUP(C107,'01_Поставщики'!$A$4:$M$11,4,FALSE()),"")</f>
        <v/>
      </c>
      <c r="L107" s="25" t="str">
        <f>IFERROR(VLOOKUP(C107,'01_Поставщики'!$A$4:$M$11,10,FALSE()),"")</f>
        <v/>
      </c>
      <c r="M107" s="26" t="str">
        <f>IF(OR(A107="",B107=""),"",IFERROR(SUMIFS('04_Потребность'!$B$4:$B$103,'04_Потребность'!$A$4:$A$103,A107,'04_Потребность'!$C$4:$C$103,B107),0))</f>
        <v/>
      </c>
      <c r="N107" s="11"/>
      <c r="O107" s="10"/>
      <c r="P107" s="10"/>
      <c r="Q107" s="27"/>
      <c r="R107" s="27"/>
      <c r="S107" s="8"/>
      <c r="T107" s="8">
        <f>IFERROR(INDEX('02_Схемы оплаты'!$C$4:$C$19,MATCH($C107&amp;"|"&amp;$G107,'02_Схемы оплаты'!$H$4:$H$19,0)),0)</f>
        <v>0</v>
      </c>
      <c r="U107" s="11"/>
      <c r="V107" s="28"/>
      <c r="W107" s="8"/>
      <c r="X107" s="8">
        <f>IFERROR(INDEX('02_Схемы оплаты'!$D$4:$D$19,MATCH($C107&amp;"|"&amp;$G107,'02_Схемы оплаты'!$H$4:$H$19,0)),0)</f>
        <v>0</v>
      </c>
      <c r="Y107" s="11"/>
      <c r="Z107" s="28"/>
      <c r="AA107" s="8"/>
      <c r="AB107" s="8">
        <f>IFERROR(INDEX('02_Схемы оплаты'!$E$4:$E$19,MATCH($C107&amp;"|"&amp;$G107,'02_Схемы оплаты'!$H$4:$H$19,0)),0)</f>
        <v>0</v>
      </c>
      <c r="AC107" s="11"/>
      <c r="AD107" s="28"/>
      <c r="AE107" s="8"/>
      <c r="AF107" s="10"/>
      <c r="AG107" s="10"/>
      <c r="AH107" s="25">
        <f>IFERROR(SUMIFS('04_Потребность'!$D$4:$D$103,'04_Потребность'!$A$4:$A$103,A107,'04_Потребность'!$C$4:$C$103,B107),0)</f>
        <v>0</v>
      </c>
      <c r="AI107" s="26" t="str">
        <f>IF(OR(A107="",B107=""),"",IFERROR(SUMIFS('04_Потребность'!$E$4:$E$103,'04_Потребность'!$A$4:$A$103,A107,'04_Потребность'!$C$4:$C$103,B107),0))</f>
        <v/>
      </c>
      <c r="AJ107" s="25" t="str">
        <f>IF(OR(A107="",B107=""),"",IFERROR(SUMIFS('04_Потребность'!$F$4:$F$103,'04_Потребность'!$A$4:$A$103,A107,'04_Потребность'!$C$4:$C$103,B107),0))</f>
        <v/>
      </c>
      <c r="AK107" s="29" t="str">
        <f>IF(OR(A107="",B107=""),"",IFERROR(SUMIFS('04_Потребность'!$G$4:$G$103,'04_Потребность'!$A$4:$A$103,A107,'04_Потребность'!$C$4:$C$103,B107),0))</f>
        <v/>
      </c>
      <c r="AL107" s="25" t="str">
        <f>IF('03_Настройки'!$B$7="Нет","Нет",IF(COUNTIFS('04_Потребность'!$A$4:$A$103,A107,'04_Потребность'!$C$4:$C$103,B107,'04_Потребность'!$H$4:$H$103,"Да")&gt;0,"Да","Нет"))</f>
        <v>Нет</v>
      </c>
      <c r="AM107" s="30">
        <f t="shared" si="60"/>
        <v>0</v>
      </c>
      <c r="AN107" s="30">
        <f t="shared" si="61"/>
        <v>0</v>
      </c>
      <c r="AO107" s="29">
        <f t="shared" si="62"/>
        <v>0</v>
      </c>
      <c r="AP107" s="29">
        <f t="shared" si="63"/>
        <v>0</v>
      </c>
      <c r="AQ107" s="29">
        <f t="shared" si="64"/>
        <v>0</v>
      </c>
      <c r="AR107" s="29">
        <f>IFERROR(E107*'03_Настройки'!$B$4/365*(IF(T107&gt;0,T107*V107*(1+W107)*MAX(0,N107-U107),0)+IF(X107&gt;0,X107*Z107*(1+AA107)*MAX(0,N107-Y107),0)+IF(AB107&gt;0,AB107*AD107*(1+AE107)*MAX(0,N107-AC107),0)),0)</f>
        <v>0</v>
      </c>
      <c r="AS107" s="29">
        <f t="shared" si="65"/>
        <v>0</v>
      </c>
      <c r="AT107" s="31">
        <f t="shared" si="66"/>
        <v>0</v>
      </c>
      <c r="AU107" s="31">
        <f t="shared" si="67"/>
        <v>0</v>
      </c>
      <c r="AV107" s="32">
        <f t="shared" si="68"/>
        <v>0</v>
      </c>
      <c r="AW107" s="29" t="e">
        <f t="shared" si="69"/>
        <v>#VALUE!</v>
      </c>
      <c r="AX107" s="29">
        <f t="shared" si="70"/>
        <v>0</v>
      </c>
      <c r="AY107" s="29" t="e">
        <f t="shared" si="71"/>
        <v>#VALUE!</v>
      </c>
      <c r="AZ107" s="25" t="str">
        <f>IF(AND(A107&lt;&gt;"",B107&lt;&gt;"",C107&lt;&gt;"",D107&gt;0,E107&gt;0,N107&lt;&gt;"",AH107&gt;0,O107="Да",P107="Да",BZ107="ПОЛНО",ABS(AN107-1)&lt;='03_Настройки'!$B$5,IF(T107&gt;0,AND(U107&lt;&gt;"",V107&gt;0),TRUE()),IF(X107&gt;0,AND(Y107&lt;&gt;"",Z107&gt;0),TRUE()),IF(AB107&gt;0,AND(AC107&lt;&gt;"",AD107&gt;0),TRUE()),OR(BM107="",BM107="Активна")),"Да","Нет")</f>
        <v>Нет</v>
      </c>
      <c r="BA107" s="25" t="str">
        <f t="shared" si="72"/>
        <v>Нет</v>
      </c>
      <c r="BB107" s="25" t="str">
        <f t="shared" si="73"/>
        <v/>
      </c>
      <c r="BC107" s="25" t="str">
        <f t="shared" si="74"/>
        <v/>
      </c>
      <c r="BD107" s="25" t="str">
        <f t="shared" si="75"/>
        <v/>
      </c>
      <c r="BE107" s="25" t="str">
        <f>IF(A107="","",IF(BZ107&lt;&gt;"ПОЛНО","BLOCK: неполная форма",IF(O107&lt;&gt;"Да","BLOCK: ввоз не разрешён",IF(P107&lt;&gt;"Да","BLOCK: документы не подтверждены",IF(ABS(AN107-1)&gt;'03_Настройки'!$B$5,"BLOCK: платежи не 100%",IF(AND(BM107&lt;&gt;"",BM107&lt;&gt;"Активна"),"BLOCK: позиция "&amp;BM107,IF(BA107&lt;&gt;"Да","PARTIAL: не покрывает потребность",IF(BB107="ДА","самый дешёвый"&amp;IF(BC107="ДА"," + быстрый","")&amp;IF(BD107="ДА"," + optimal",""),IF(BC107="ДА","самый быстрый"&amp;IF(BD107="ДА"," + optimal",""),IF(BD107="ДА","optimal","Допущен"))))))))))</f>
        <v/>
      </c>
      <c r="BF107" s="25">
        <f>ROW()</f>
        <v>107</v>
      </c>
      <c r="BG107" s="33"/>
      <c r="BH107" s="33"/>
      <c r="BI107" s="33"/>
      <c r="BJ107" s="33"/>
      <c r="BK107" s="33"/>
      <c r="BL107" s="34"/>
      <c r="BM107" s="33"/>
      <c r="BN107" s="35" t="str">
        <f t="shared" si="76"/>
        <v/>
      </c>
      <c r="BO107" s="36" t="str">
        <f t="shared" si="77"/>
        <v/>
      </c>
      <c r="BP107" s="33"/>
      <c r="BQ107" s="38"/>
      <c r="BR107" s="13"/>
      <c r="BS107" s="13"/>
      <c r="BT107" s="13"/>
      <c r="BU107" s="13"/>
      <c r="BV107" s="13"/>
      <c r="BW107" s="13"/>
      <c r="BX107" s="39" t="str">
        <f t="shared" si="78"/>
        <v/>
      </c>
      <c r="BY107" s="47"/>
      <c r="BZ107" s="48" t="str">
        <f t="shared" si="79"/>
        <v/>
      </c>
      <c r="CA107" s="47"/>
      <c r="CB107" s="47"/>
      <c r="CC107" s="47"/>
    </row>
    <row r="108" spans="1:81" ht="14.25" x14ac:dyDescent="0.45">
      <c r="A108" s="10"/>
      <c r="B108" s="10"/>
      <c r="C108" s="10"/>
      <c r="D108" s="10"/>
      <c r="E108" s="10"/>
      <c r="F108" s="10"/>
      <c r="G108" s="10"/>
      <c r="H108" s="25" t="str">
        <f>IFERROR(VLOOKUP(C108,'01_Поставщики'!$A$4:$M$11,2,FALSE()),"")</f>
        <v/>
      </c>
      <c r="I108" s="10"/>
      <c r="J108" s="25" t="str">
        <f>IFERROR(VLOOKUP(C108,'01_Поставщики'!$A$4:$M$11,8,FALSE()),"")</f>
        <v/>
      </c>
      <c r="K108" s="25" t="str">
        <f>IFERROR(VLOOKUP(C108,'01_Поставщики'!$A$4:$M$11,4,FALSE()),"")</f>
        <v/>
      </c>
      <c r="L108" s="25" t="str">
        <f>IFERROR(VLOOKUP(C108,'01_Поставщики'!$A$4:$M$11,10,FALSE()),"")</f>
        <v/>
      </c>
      <c r="M108" s="26" t="str">
        <f>IF(OR(A108="",B108=""),"",IFERROR(SUMIFS('04_Потребность'!$B$4:$B$103,'04_Потребность'!$A$4:$A$103,A108,'04_Потребность'!$C$4:$C$103,B108),0))</f>
        <v/>
      </c>
      <c r="N108" s="11"/>
      <c r="O108" s="10"/>
      <c r="P108" s="10"/>
      <c r="Q108" s="27"/>
      <c r="R108" s="27"/>
      <c r="S108" s="8"/>
      <c r="T108" s="8">
        <f>IFERROR(INDEX('02_Схемы оплаты'!$C$4:$C$19,MATCH($C108&amp;"|"&amp;$G108,'02_Схемы оплаты'!$H$4:$H$19,0)),0)</f>
        <v>0</v>
      </c>
      <c r="U108" s="11"/>
      <c r="V108" s="28"/>
      <c r="W108" s="8"/>
      <c r="X108" s="8">
        <f>IFERROR(INDEX('02_Схемы оплаты'!$D$4:$D$19,MATCH($C108&amp;"|"&amp;$G108,'02_Схемы оплаты'!$H$4:$H$19,0)),0)</f>
        <v>0</v>
      </c>
      <c r="Y108" s="11"/>
      <c r="Z108" s="28"/>
      <c r="AA108" s="8"/>
      <c r="AB108" s="8">
        <f>IFERROR(INDEX('02_Схемы оплаты'!$E$4:$E$19,MATCH($C108&amp;"|"&amp;$G108,'02_Схемы оплаты'!$H$4:$H$19,0)),0)</f>
        <v>0</v>
      </c>
      <c r="AC108" s="11"/>
      <c r="AD108" s="28"/>
      <c r="AE108" s="8"/>
      <c r="AF108" s="10"/>
      <c r="AG108" s="10"/>
      <c r="AH108" s="25">
        <f>IFERROR(SUMIFS('04_Потребность'!$D$4:$D$103,'04_Потребность'!$A$4:$A$103,A108,'04_Потребность'!$C$4:$C$103,B108),0)</f>
        <v>0</v>
      </c>
      <c r="AI108" s="26" t="str">
        <f>IF(OR(A108="",B108=""),"",IFERROR(SUMIFS('04_Потребность'!$E$4:$E$103,'04_Потребность'!$A$4:$A$103,A108,'04_Потребность'!$C$4:$C$103,B108),0))</f>
        <v/>
      </c>
      <c r="AJ108" s="25" t="str">
        <f>IF(OR(A108="",B108=""),"",IFERROR(SUMIFS('04_Потребность'!$F$4:$F$103,'04_Потребность'!$A$4:$A$103,A108,'04_Потребность'!$C$4:$C$103,B108),0))</f>
        <v/>
      </c>
      <c r="AK108" s="29" t="str">
        <f>IF(OR(A108="",B108=""),"",IFERROR(SUMIFS('04_Потребность'!$G$4:$G$103,'04_Потребность'!$A$4:$A$103,A108,'04_Потребность'!$C$4:$C$103,B108),0))</f>
        <v/>
      </c>
      <c r="AL108" s="25" t="str">
        <f>IF('03_Настройки'!$B$7="Нет","Нет",IF(COUNTIFS('04_Потребность'!$A$4:$A$103,A108,'04_Потребность'!$C$4:$C$103,B108,'04_Потребность'!$H$4:$H$103,"Да")&gt;0,"Да","Нет"))</f>
        <v>Нет</v>
      </c>
      <c r="AM108" s="30">
        <f t="shared" si="60"/>
        <v>0</v>
      </c>
      <c r="AN108" s="30">
        <f t="shared" si="61"/>
        <v>0</v>
      </c>
      <c r="AO108" s="29">
        <f t="shared" si="62"/>
        <v>0</v>
      </c>
      <c r="AP108" s="29">
        <f t="shared" si="63"/>
        <v>0</v>
      </c>
      <c r="AQ108" s="29">
        <f t="shared" si="64"/>
        <v>0</v>
      </c>
      <c r="AR108" s="29">
        <f>IFERROR(E108*'03_Настройки'!$B$4/365*(IF(T108&gt;0,T108*V108*(1+W108)*MAX(0,N108-U108),0)+IF(X108&gt;0,X108*Z108*(1+AA108)*MAX(0,N108-Y108),0)+IF(AB108&gt;0,AB108*AD108*(1+AE108)*MAX(0,N108-AC108),0)),0)</f>
        <v>0</v>
      </c>
      <c r="AS108" s="29">
        <f t="shared" si="65"/>
        <v>0</v>
      </c>
      <c r="AT108" s="31">
        <f t="shared" si="66"/>
        <v>0</v>
      </c>
      <c r="AU108" s="31">
        <f t="shared" si="67"/>
        <v>0</v>
      </c>
      <c r="AV108" s="32">
        <f t="shared" si="68"/>
        <v>0</v>
      </c>
      <c r="AW108" s="29" t="e">
        <f t="shared" si="69"/>
        <v>#VALUE!</v>
      </c>
      <c r="AX108" s="29">
        <f t="shared" si="70"/>
        <v>0</v>
      </c>
      <c r="AY108" s="29" t="e">
        <f t="shared" si="71"/>
        <v>#VALUE!</v>
      </c>
      <c r="AZ108" s="25" t="str">
        <f>IF(AND(A108&lt;&gt;"",B108&lt;&gt;"",C108&lt;&gt;"",D108&gt;0,E108&gt;0,N108&lt;&gt;"",AH108&gt;0,O108="Да",P108="Да",BZ108="ПОЛНО",ABS(AN108-1)&lt;='03_Настройки'!$B$5,IF(T108&gt;0,AND(U108&lt;&gt;"",V108&gt;0),TRUE()),IF(X108&gt;0,AND(Y108&lt;&gt;"",Z108&gt;0),TRUE()),IF(AB108&gt;0,AND(AC108&lt;&gt;"",AD108&gt;0),TRUE()),OR(BM108="",BM108="Активна")),"Да","Нет")</f>
        <v>Нет</v>
      </c>
      <c r="BA108" s="25" t="str">
        <f t="shared" si="72"/>
        <v>Нет</v>
      </c>
      <c r="BB108" s="25" t="str">
        <f t="shared" si="73"/>
        <v/>
      </c>
      <c r="BC108" s="25" t="str">
        <f t="shared" si="74"/>
        <v/>
      </c>
      <c r="BD108" s="25" t="str">
        <f t="shared" si="75"/>
        <v/>
      </c>
      <c r="BE108" s="25" t="str">
        <f>IF(A108="","",IF(BZ108&lt;&gt;"ПОЛНО","BLOCK: неполная форма",IF(O108&lt;&gt;"Да","BLOCK: ввоз не разрешён",IF(P108&lt;&gt;"Да","BLOCK: документы не подтверждены",IF(ABS(AN108-1)&gt;'03_Настройки'!$B$5,"BLOCK: платежи не 100%",IF(AND(BM108&lt;&gt;"",BM108&lt;&gt;"Активна"),"BLOCK: позиция "&amp;BM108,IF(BA108&lt;&gt;"Да","PARTIAL: не покрывает потребность",IF(BB108="ДА","самый дешёвый"&amp;IF(BC108="ДА"," + быстрый","")&amp;IF(BD108="ДА"," + optimal",""),IF(BC108="ДА","самый быстрый"&amp;IF(BD108="ДА"," + optimal",""),IF(BD108="ДА","optimal","Допущен"))))))))))</f>
        <v/>
      </c>
      <c r="BF108" s="25">
        <f>ROW()</f>
        <v>108</v>
      </c>
      <c r="BG108" s="33"/>
      <c r="BH108" s="33"/>
      <c r="BI108" s="33"/>
      <c r="BJ108" s="33"/>
      <c r="BK108" s="33"/>
      <c r="BL108" s="34"/>
      <c r="BM108" s="33"/>
      <c r="BN108" s="35" t="str">
        <f t="shared" si="76"/>
        <v/>
      </c>
      <c r="BO108" s="36" t="str">
        <f t="shared" si="77"/>
        <v/>
      </c>
      <c r="BP108" s="33"/>
      <c r="BQ108" s="38"/>
      <c r="BR108" s="13"/>
      <c r="BS108" s="13"/>
      <c r="BT108" s="13"/>
      <c r="BU108" s="13"/>
      <c r="BV108" s="13"/>
      <c r="BW108" s="13"/>
      <c r="BX108" s="39" t="str">
        <f t="shared" si="78"/>
        <v/>
      </c>
      <c r="BY108" s="47"/>
      <c r="BZ108" s="48" t="str">
        <f t="shared" si="79"/>
        <v/>
      </c>
      <c r="CA108" s="47"/>
      <c r="CB108" s="47"/>
      <c r="CC108" s="47"/>
    </row>
    <row r="109" spans="1:81" ht="14.25" x14ac:dyDescent="0.45">
      <c r="A109" s="10"/>
      <c r="B109" s="10"/>
      <c r="C109" s="10"/>
      <c r="D109" s="10"/>
      <c r="E109" s="10"/>
      <c r="F109" s="10"/>
      <c r="G109" s="10"/>
      <c r="H109" s="25" t="str">
        <f>IFERROR(VLOOKUP(C109,'01_Поставщики'!$A$4:$M$11,2,FALSE()),"")</f>
        <v/>
      </c>
      <c r="I109" s="10"/>
      <c r="J109" s="25" t="str">
        <f>IFERROR(VLOOKUP(C109,'01_Поставщики'!$A$4:$M$11,8,FALSE()),"")</f>
        <v/>
      </c>
      <c r="K109" s="25" t="str">
        <f>IFERROR(VLOOKUP(C109,'01_Поставщики'!$A$4:$M$11,4,FALSE()),"")</f>
        <v/>
      </c>
      <c r="L109" s="25" t="str">
        <f>IFERROR(VLOOKUP(C109,'01_Поставщики'!$A$4:$M$11,10,FALSE()),"")</f>
        <v/>
      </c>
      <c r="M109" s="26" t="str">
        <f>IF(OR(A109="",B109=""),"",IFERROR(SUMIFS('04_Потребность'!$B$4:$B$103,'04_Потребность'!$A$4:$A$103,A109,'04_Потребность'!$C$4:$C$103,B109),0))</f>
        <v/>
      </c>
      <c r="N109" s="11"/>
      <c r="O109" s="10"/>
      <c r="P109" s="10"/>
      <c r="Q109" s="27"/>
      <c r="R109" s="27"/>
      <c r="S109" s="8"/>
      <c r="T109" s="8">
        <f>IFERROR(INDEX('02_Схемы оплаты'!$C$4:$C$19,MATCH($C109&amp;"|"&amp;$G109,'02_Схемы оплаты'!$H$4:$H$19,0)),0)</f>
        <v>0</v>
      </c>
      <c r="U109" s="11"/>
      <c r="V109" s="28"/>
      <c r="W109" s="8"/>
      <c r="X109" s="8">
        <f>IFERROR(INDEX('02_Схемы оплаты'!$D$4:$D$19,MATCH($C109&amp;"|"&amp;$G109,'02_Схемы оплаты'!$H$4:$H$19,0)),0)</f>
        <v>0</v>
      </c>
      <c r="Y109" s="11"/>
      <c r="Z109" s="28"/>
      <c r="AA109" s="8"/>
      <c r="AB109" s="8">
        <f>IFERROR(INDEX('02_Схемы оплаты'!$E$4:$E$19,MATCH($C109&amp;"|"&amp;$G109,'02_Схемы оплаты'!$H$4:$H$19,0)),0)</f>
        <v>0</v>
      </c>
      <c r="AC109" s="11"/>
      <c r="AD109" s="28"/>
      <c r="AE109" s="8"/>
      <c r="AF109" s="10"/>
      <c r="AG109" s="10"/>
      <c r="AH109" s="25">
        <f>IFERROR(SUMIFS('04_Потребность'!$D$4:$D$103,'04_Потребность'!$A$4:$A$103,A109,'04_Потребность'!$C$4:$C$103,B109),0)</f>
        <v>0</v>
      </c>
      <c r="AI109" s="26" t="str">
        <f>IF(OR(A109="",B109=""),"",IFERROR(SUMIFS('04_Потребность'!$E$4:$E$103,'04_Потребность'!$A$4:$A$103,A109,'04_Потребность'!$C$4:$C$103,B109),0))</f>
        <v/>
      </c>
      <c r="AJ109" s="25" t="str">
        <f>IF(OR(A109="",B109=""),"",IFERROR(SUMIFS('04_Потребность'!$F$4:$F$103,'04_Потребность'!$A$4:$A$103,A109,'04_Потребность'!$C$4:$C$103,B109),0))</f>
        <v/>
      </c>
      <c r="AK109" s="29" t="str">
        <f>IF(OR(A109="",B109=""),"",IFERROR(SUMIFS('04_Потребность'!$G$4:$G$103,'04_Потребность'!$A$4:$A$103,A109,'04_Потребность'!$C$4:$C$103,B109),0))</f>
        <v/>
      </c>
      <c r="AL109" s="25" t="str">
        <f>IF('03_Настройки'!$B$7="Нет","Нет",IF(COUNTIFS('04_Потребность'!$A$4:$A$103,A109,'04_Потребность'!$C$4:$C$103,B109,'04_Потребность'!$H$4:$H$103,"Да")&gt;0,"Да","Нет"))</f>
        <v>Нет</v>
      </c>
      <c r="AM109" s="30">
        <f t="shared" si="60"/>
        <v>0</v>
      </c>
      <c r="AN109" s="30">
        <f t="shared" si="61"/>
        <v>0</v>
      </c>
      <c r="AO109" s="29">
        <f t="shared" si="62"/>
        <v>0</v>
      </c>
      <c r="AP109" s="29">
        <f t="shared" si="63"/>
        <v>0</v>
      </c>
      <c r="AQ109" s="29">
        <f t="shared" si="64"/>
        <v>0</v>
      </c>
      <c r="AR109" s="29">
        <f>IFERROR(E109*'03_Настройки'!$B$4/365*(IF(T109&gt;0,T109*V109*(1+W109)*MAX(0,N109-U109),0)+IF(X109&gt;0,X109*Z109*(1+AA109)*MAX(0,N109-Y109),0)+IF(AB109&gt;0,AB109*AD109*(1+AE109)*MAX(0,N109-AC109),0)),0)</f>
        <v>0</v>
      </c>
      <c r="AS109" s="29">
        <f t="shared" si="65"/>
        <v>0</v>
      </c>
      <c r="AT109" s="31">
        <f t="shared" si="66"/>
        <v>0</v>
      </c>
      <c r="AU109" s="31">
        <f t="shared" si="67"/>
        <v>0</v>
      </c>
      <c r="AV109" s="32">
        <f t="shared" si="68"/>
        <v>0</v>
      </c>
      <c r="AW109" s="29" t="e">
        <f t="shared" si="69"/>
        <v>#VALUE!</v>
      </c>
      <c r="AX109" s="29">
        <f t="shared" si="70"/>
        <v>0</v>
      </c>
      <c r="AY109" s="29" t="e">
        <f t="shared" si="71"/>
        <v>#VALUE!</v>
      </c>
      <c r="AZ109" s="25" t="str">
        <f>IF(AND(A109&lt;&gt;"",B109&lt;&gt;"",C109&lt;&gt;"",D109&gt;0,E109&gt;0,N109&lt;&gt;"",AH109&gt;0,O109="Да",P109="Да",BZ109="ПОЛНО",ABS(AN109-1)&lt;='03_Настройки'!$B$5,IF(T109&gt;0,AND(U109&lt;&gt;"",V109&gt;0),TRUE()),IF(X109&gt;0,AND(Y109&lt;&gt;"",Z109&gt;0),TRUE()),IF(AB109&gt;0,AND(AC109&lt;&gt;"",AD109&gt;0),TRUE()),OR(BM109="",BM109="Активна")),"Да","Нет")</f>
        <v>Нет</v>
      </c>
      <c r="BA109" s="25" t="str">
        <f t="shared" si="72"/>
        <v>Нет</v>
      </c>
      <c r="BB109" s="25" t="str">
        <f t="shared" si="73"/>
        <v/>
      </c>
      <c r="BC109" s="25" t="str">
        <f t="shared" si="74"/>
        <v/>
      </c>
      <c r="BD109" s="25" t="str">
        <f t="shared" si="75"/>
        <v/>
      </c>
      <c r="BE109" s="25" t="str">
        <f>IF(A109="","",IF(BZ109&lt;&gt;"ПОЛНО","BLOCK: неполная форма",IF(O109&lt;&gt;"Да","BLOCK: ввоз не разрешён",IF(P109&lt;&gt;"Да","BLOCK: документы не подтверждены",IF(ABS(AN109-1)&gt;'03_Настройки'!$B$5,"BLOCK: платежи не 100%",IF(AND(BM109&lt;&gt;"",BM109&lt;&gt;"Активна"),"BLOCK: позиция "&amp;BM109,IF(BA109&lt;&gt;"Да","PARTIAL: не покрывает потребность",IF(BB109="ДА","самый дешёвый"&amp;IF(BC109="ДА"," + быстрый","")&amp;IF(BD109="ДА"," + optimal",""),IF(BC109="ДА","самый быстрый"&amp;IF(BD109="ДА"," + optimal",""),IF(BD109="ДА","optimal","Допущен"))))))))))</f>
        <v/>
      </c>
      <c r="BF109" s="25">
        <f>ROW()</f>
        <v>109</v>
      </c>
      <c r="BG109" s="33"/>
      <c r="BH109" s="33"/>
      <c r="BI109" s="33"/>
      <c r="BJ109" s="33"/>
      <c r="BK109" s="33"/>
      <c r="BL109" s="34"/>
      <c r="BM109" s="33"/>
      <c r="BN109" s="35" t="str">
        <f t="shared" si="76"/>
        <v/>
      </c>
      <c r="BO109" s="36" t="str">
        <f t="shared" si="77"/>
        <v/>
      </c>
      <c r="BP109" s="33"/>
      <c r="BQ109" s="38"/>
      <c r="BR109" s="13"/>
      <c r="BS109" s="13"/>
      <c r="BT109" s="13"/>
      <c r="BU109" s="13"/>
      <c r="BV109" s="13"/>
      <c r="BW109" s="13"/>
      <c r="BX109" s="39" t="str">
        <f t="shared" si="78"/>
        <v/>
      </c>
      <c r="BY109" s="47"/>
      <c r="BZ109" s="48" t="str">
        <f t="shared" si="79"/>
        <v/>
      </c>
      <c r="CA109" s="47"/>
      <c r="CB109" s="47"/>
      <c r="CC109" s="47"/>
    </row>
    <row r="110" spans="1:81" ht="14.25" x14ac:dyDescent="0.45">
      <c r="A110" s="10"/>
      <c r="B110" s="10"/>
      <c r="C110" s="10"/>
      <c r="D110" s="10"/>
      <c r="E110" s="10"/>
      <c r="F110" s="10"/>
      <c r="G110" s="10"/>
      <c r="H110" s="25" t="str">
        <f>IFERROR(VLOOKUP(C110,'01_Поставщики'!$A$4:$M$11,2,FALSE()),"")</f>
        <v/>
      </c>
      <c r="I110" s="10"/>
      <c r="J110" s="25" t="str">
        <f>IFERROR(VLOOKUP(C110,'01_Поставщики'!$A$4:$M$11,8,FALSE()),"")</f>
        <v/>
      </c>
      <c r="K110" s="25" t="str">
        <f>IFERROR(VLOOKUP(C110,'01_Поставщики'!$A$4:$M$11,4,FALSE()),"")</f>
        <v/>
      </c>
      <c r="L110" s="25" t="str">
        <f>IFERROR(VLOOKUP(C110,'01_Поставщики'!$A$4:$M$11,10,FALSE()),"")</f>
        <v/>
      </c>
      <c r="M110" s="26" t="str">
        <f>IF(OR(A110="",B110=""),"",IFERROR(SUMIFS('04_Потребность'!$B$4:$B$103,'04_Потребность'!$A$4:$A$103,A110,'04_Потребность'!$C$4:$C$103,B110),0))</f>
        <v/>
      </c>
      <c r="N110" s="11"/>
      <c r="O110" s="10"/>
      <c r="P110" s="10"/>
      <c r="Q110" s="27"/>
      <c r="R110" s="27"/>
      <c r="S110" s="8"/>
      <c r="T110" s="8">
        <f>IFERROR(INDEX('02_Схемы оплаты'!$C$4:$C$19,MATCH($C110&amp;"|"&amp;$G110,'02_Схемы оплаты'!$H$4:$H$19,0)),0)</f>
        <v>0</v>
      </c>
      <c r="U110" s="11"/>
      <c r="V110" s="28"/>
      <c r="W110" s="8"/>
      <c r="X110" s="8">
        <f>IFERROR(INDEX('02_Схемы оплаты'!$D$4:$D$19,MATCH($C110&amp;"|"&amp;$G110,'02_Схемы оплаты'!$H$4:$H$19,0)),0)</f>
        <v>0</v>
      </c>
      <c r="Y110" s="11"/>
      <c r="Z110" s="28"/>
      <c r="AA110" s="8"/>
      <c r="AB110" s="8">
        <f>IFERROR(INDEX('02_Схемы оплаты'!$E$4:$E$19,MATCH($C110&amp;"|"&amp;$G110,'02_Схемы оплаты'!$H$4:$H$19,0)),0)</f>
        <v>0</v>
      </c>
      <c r="AC110" s="11"/>
      <c r="AD110" s="28"/>
      <c r="AE110" s="8"/>
      <c r="AF110" s="10"/>
      <c r="AG110" s="10"/>
      <c r="AH110" s="25">
        <f>IFERROR(SUMIFS('04_Потребность'!$D$4:$D$103,'04_Потребность'!$A$4:$A$103,A110,'04_Потребность'!$C$4:$C$103,B110),0)</f>
        <v>0</v>
      </c>
      <c r="AI110" s="26" t="str">
        <f>IF(OR(A110="",B110=""),"",IFERROR(SUMIFS('04_Потребность'!$E$4:$E$103,'04_Потребность'!$A$4:$A$103,A110,'04_Потребность'!$C$4:$C$103,B110),0))</f>
        <v/>
      </c>
      <c r="AJ110" s="25" t="str">
        <f>IF(OR(A110="",B110=""),"",IFERROR(SUMIFS('04_Потребность'!$F$4:$F$103,'04_Потребность'!$A$4:$A$103,A110,'04_Потребность'!$C$4:$C$103,B110),0))</f>
        <v/>
      </c>
      <c r="AK110" s="29" t="str">
        <f>IF(OR(A110="",B110=""),"",IFERROR(SUMIFS('04_Потребность'!$G$4:$G$103,'04_Потребность'!$A$4:$A$103,A110,'04_Потребность'!$C$4:$C$103,B110),0))</f>
        <v/>
      </c>
      <c r="AL110" s="25" t="str">
        <f>IF('03_Настройки'!$B$7="Нет","Нет",IF(COUNTIFS('04_Потребность'!$A$4:$A$103,A110,'04_Потребность'!$C$4:$C$103,B110,'04_Потребность'!$H$4:$H$103,"Да")&gt;0,"Да","Нет"))</f>
        <v>Нет</v>
      </c>
      <c r="AM110" s="30">
        <f t="shared" si="60"/>
        <v>0</v>
      </c>
      <c r="AN110" s="30">
        <f t="shared" si="61"/>
        <v>0</v>
      </c>
      <c r="AO110" s="29">
        <f t="shared" si="62"/>
        <v>0</v>
      </c>
      <c r="AP110" s="29">
        <f t="shared" si="63"/>
        <v>0</v>
      </c>
      <c r="AQ110" s="29">
        <f t="shared" si="64"/>
        <v>0</v>
      </c>
      <c r="AR110" s="29">
        <f>IFERROR(E110*'03_Настройки'!$B$4/365*(IF(T110&gt;0,T110*V110*(1+W110)*MAX(0,N110-U110),0)+IF(X110&gt;0,X110*Z110*(1+AA110)*MAX(0,N110-Y110),0)+IF(AB110&gt;0,AB110*AD110*(1+AE110)*MAX(0,N110-AC110),0)),0)</f>
        <v>0</v>
      </c>
      <c r="AS110" s="29">
        <f t="shared" si="65"/>
        <v>0</v>
      </c>
      <c r="AT110" s="31">
        <f t="shared" si="66"/>
        <v>0</v>
      </c>
      <c r="AU110" s="31">
        <f t="shared" si="67"/>
        <v>0</v>
      </c>
      <c r="AV110" s="32">
        <f t="shared" si="68"/>
        <v>0</v>
      </c>
      <c r="AW110" s="29" t="e">
        <f t="shared" si="69"/>
        <v>#VALUE!</v>
      </c>
      <c r="AX110" s="29">
        <f t="shared" si="70"/>
        <v>0</v>
      </c>
      <c r="AY110" s="29" t="e">
        <f t="shared" si="71"/>
        <v>#VALUE!</v>
      </c>
      <c r="AZ110" s="25" t="str">
        <f>IF(AND(A110&lt;&gt;"",B110&lt;&gt;"",C110&lt;&gt;"",D110&gt;0,E110&gt;0,N110&lt;&gt;"",AH110&gt;0,O110="Да",P110="Да",BZ110="ПОЛНО",ABS(AN110-1)&lt;='03_Настройки'!$B$5,IF(T110&gt;0,AND(U110&lt;&gt;"",V110&gt;0),TRUE()),IF(X110&gt;0,AND(Y110&lt;&gt;"",Z110&gt;0),TRUE()),IF(AB110&gt;0,AND(AC110&lt;&gt;"",AD110&gt;0),TRUE()),OR(BM110="",BM110="Активна")),"Да","Нет")</f>
        <v>Нет</v>
      </c>
      <c r="BA110" s="25" t="str">
        <f t="shared" si="72"/>
        <v>Нет</v>
      </c>
      <c r="BB110" s="25" t="str">
        <f t="shared" si="73"/>
        <v/>
      </c>
      <c r="BC110" s="25" t="str">
        <f t="shared" si="74"/>
        <v/>
      </c>
      <c r="BD110" s="25" t="str">
        <f t="shared" si="75"/>
        <v/>
      </c>
      <c r="BE110" s="25" t="str">
        <f>IF(A110="","",IF(BZ110&lt;&gt;"ПОЛНО","BLOCK: неполная форма",IF(O110&lt;&gt;"Да","BLOCK: ввоз не разрешён",IF(P110&lt;&gt;"Да","BLOCK: документы не подтверждены",IF(ABS(AN110-1)&gt;'03_Настройки'!$B$5,"BLOCK: платежи не 100%",IF(AND(BM110&lt;&gt;"",BM110&lt;&gt;"Активна"),"BLOCK: позиция "&amp;BM110,IF(BA110&lt;&gt;"Да","PARTIAL: не покрывает потребность",IF(BB110="ДА","самый дешёвый"&amp;IF(BC110="ДА"," + быстрый","")&amp;IF(BD110="ДА"," + optimal",""),IF(BC110="ДА","самый быстрый"&amp;IF(BD110="ДА"," + optimal",""),IF(BD110="ДА","optimal","Допущен"))))))))))</f>
        <v/>
      </c>
      <c r="BF110" s="25">
        <f>ROW()</f>
        <v>110</v>
      </c>
      <c r="BG110" s="33"/>
      <c r="BH110" s="33"/>
      <c r="BI110" s="33"/>
      <c r="BJ110" s="33"/>
      <c r="BK110" s="33"/>
      <c r="BL110" s="34"/>
      <c r="BM110" s="33"/>
      <c r="BN110" s="35" t="str">
        <f t="shared" si="76"/>
        <v/>
      </c>
      <c r="BO110" s="36" t="str">
        <f t="shared" si="77"/>
        <v/>
      </c>
      <c r="BP110" s="33"/>
      <c r="BQ110" s="38"/>
      <c r="BR110" s="13"/>
      <c r="BS110" s="13"/>
      <c r="BT110" s="13"/>
      <c r="BU110" s="13"/>
      <c r="BV110" s="13"/>
      <c r="BW110" s="13"/>
      <c r="BX110" s="39" t="str">
        <f t="shared" si="78"/>
        <v/>
      </c>
      <c r="BY110" s="47"/>
      <c r="BZ110" s="48" t="str">
        <f t="shared" si="79"/>
        <v/>
      </c>
      <c r="CA110" s="47"/>
      <c r="CB110" s="47"/>
      <c r="CC110" s="47"/>
    </row>
    <row r="111" spans="1:81" ht="14.25" x14ac:dyDescent="0.45">
      <c r="A111" s="10"/>
      <c r="B111" s="10"/>
      <c r="C111" s="10"/>
      <c r="D111" s="10"/>
      <c r="E111" s="10"/>
      <c r="F111" s="10"/>
      <c r="G111" s="10"/>
      <c r="H111" s="25" t="str">
        <f>IFERROR(VLOOKUP(C111,'01_Поставщики'!$A$4:$M$11,2,FALSE()),"")</f>
        <v/>
      </c>
      <c r="I111" s="10"/>
      <c r="J111" s="25" t="str">
        <f>IFERROR(VLOOKUP(C111,'01_Поставщики'!$A$4:$M$11,8,FALSE()),"")</f>
        <v/>
      </c>
      <c r="K111" s="25" t="str">
        <f>IFERROR(VLOOKUP(C111,'01_Поставщики'!$A$4:$M$11,4,FALSE()),"")</f>
        <v/>
      </c>
      <c r="L111" s="25" t="str">
        <f>IFERROR(VLOOKUP(C111,'01_Поставщики'!$A$4:$M$11,10,FALSE()),"")</f>
        <v/>
      </c>
      <c r="M111" s="26" t="str">
        <f>IF(OR(A111="",B111=""),"",IFERROR(SUMIFS('04_Потребность'!$B$4:$B$103,'04_Потребность'!$A$4:$A$103,A111,'04_Потребность'!$C$4:$C$103,B111),0))</f>
        <v/>
      </c>
      <c r="N111" s="11"/>
      <c r="O111" s="10"/>
      <c r="P111" s="10"/>
      <c r="Q111" s="27"/>
      <c r="R111" s="27"/>
      <c r="S111" s="8"/>
      <c r="T111" s="8">
        <f>IFERROR(INDEX('02_Схемы оплаты'!$C$4:$C$19,MATCH($C111&amp;"|"&amp;$G111,'02_Схемы оплаты'!$H$4:$H$19,0)),0)</f>
        <v>0</v>
      </c>
      <c r="U111" s="11"/>
      <c r="V111" s="28"/>
      <c r="W111" s="8"/>
      <c r="X111" s="8">
        <f>IFERROR(INDEX('02_Схемы оплаты'!$D$4:$D$19,MATCH($C111&amp;"|"&amp;$G111,'02_Схемы оплаты'!$H$4:$H$19,0)),0)</f>
        <v>0</v>
      </c>
      <c r="Y111" s="11"/>
      <c r="Z111" s="28"/>
      <c r="AA111" s="8"/>
      <c r="AB111" s="8">
        <f>IFERROR(INDEX('02_Схемы оплаты'!$E$4:$E$19,MATCH($C111&amp;"|"&amp;$G111,'02_Схемы оплаты'!$H$4:$H$19,0)),0)</f>
        <v>0</v>
      </c>
      <c r="AC111" s="11"/>
      <c r="AD111" s="28"/>
      <c r="AE111" s="8"/>
      <c r="AF111" s="10"/>
      <c r="AG111" s="10"/>
      <c r="AH111" s="25">
        <f>IFERROR(SUMIFS('04_Потребность'!$D$4:$D$103,'04_Потребность'!$A$4:$A$103,A111,'04_Потребность'!$C$4:$C$103,B111),0)</f>
        <v>0</v>
      </c>
      <c r="AI111" s="26" t="str">
        <f>IF(OR(A111="",B111=""),"",IFERROR(SUMIFS('04_Потребность'!$E$4:$E$103,'04_Потребность'!$A$4:$A$103,A111,'04_Потребность'!$C$4:$C$103,B111),0))</f>
        <v/>
      </c>
      <c r="AJ111" s="25" t="str">
        <f>IF(OR(A111="",B111=""),"",IFERROR(SUMIFS('04_Потребность'!$F$4:$F$103,'04_Потребность'!$A$4:$A$103,A111,'04_Потребность'!$C$4:$C$103,B111),0))</f>
        <v/>
      </c>
      <c r="AK111" s="29" t="str">
        <f>IF(OR(A111="",B111=""),"",IFERROR(SUMIFS('04_Потребность'!$G$4:$G$103,'04_Потребность'!$A$4:$A$103,A111,'04_Потребность'!$C$4:$C$103,B111),0))</f>
        <v/>
      </c>
      <c r="AL111" s="25" t="str">
        <f>IF('03_Настройки'!$B$7="Нет","Нет",IF(COUNTIFS('04_Потребность'!$A$4:$A$103,A111,'04_Потребность'!$C$4:$C$103,B111,'04_Потребность'!$H$4:$H$103,"Да")&gt;0,"Да","Нет"))</f>
        <v>Нет</v>
      </c>
      <c r="AM111" s="30">
        <f t="shared" si="60"/>
        <v>0</v>
      </c>
      <c r="AN111" s="30">
        <f t="shared" si="61"/>
        <v>0</v>
      </c>
      <c r="AO111" s="29">
        <f t="shared" si="62"/>
        <v>0</v>
      </c>
      <c r="AP111" s="29">
        <f t="shared" si="63"/>
        <v>0</v>
      </c>
      <c r="AQ111" s="29">
        <f t="shared" si="64"/>
        <v>0</v>
      </c>
      <c r="AR111" s="29">
        <f>IFERROR(E111*'03_Настройки'!$B$4/365*(IF(T111&gt;0,T111*V111*(1+W111)*MAX(0,N111-U111),0)+IF(X111&gt;0,X111*Z111*(1+AA111)*MAX(0,N111-Y111),0)+IF(AB111&gt;0,AB111*AD111*(1+AE111)*MAX(0,N111-AC111),0)),0)</f>
        <v>0</v>
      </c>
      <c r="AS111" s="29">
        <f t="shared" si="65"/>
        <v>0</v>
      </c>
      <c r="AT111" s="31">
        <f t="shared" si="66"/>
        <v>0</v>
      </c>
      <c r="AU111" s="31">
        <f t="shared" si="67"/>
        <v>0</v>
      </c>
      <c r="AV111" s="32">
        <f t="shared" si="68"/>
        <v>0</v>
      </c>
      <c r="AW111" s="29" t="e">
        <f t="shared" si="69"/>
        <v>#VALUE!</v>
      </c>
      <c r="AX111" s="29">
        <f t="shared" si="70"/>
        <v>0</v>
      </c>
      <c r="AY111" s="29" t="e">
        <f t="shared" si="71"/>
        <v>#VALUE!</v>
      </c>
      <c r="AZ111" s="25" t="str">
        <f>IF(AND(A111&lt;&gt;"",B111&lt;&gt;"",C111&lt;&gt;"",D111&gt;0,E111&gt;0,N111&lt;&gt;"",AH111&gt;0,O111="Да",P111="Да",BZ111="ПОЛНО",ABS(AN111-1)&lt;='03_Настройки'!$B$5,IF(T111&gt;0,AND(U111&lt;&gt;"",V111&gt;0),TRUE()),IF(X111&gt;0,AND(Y111&lt;&gt;"",Z111&gt;0),TRUE()),IF(AB111&gt;0,AND(AC111&lt;&gt;"",AD111&gt;0),TRUE()),OR(BM111="",BM111="Активна")),"Да","Нет")</f>
        <v>Нет</v>
      </c>
      <c r="BA111" s="25" t="str">
        <f t="shared" si="72"/>
        <v>Нет</v>
      </c>
      <c r="BB111" s="25" t="str">
        <f t="shared" si="73"/>
        <v/>
      </c>
      <c r="BC111" s="25" t="str">
        <f t="shared" si="74"/>
        <v/>
      </c>
      <c r="BD111" s="25" t="str">
        <f t="shared" si="75"/>
        <v/>
      </c>
      <c r="BE111" s="25" t="str">
        <f>IF(A111="","",IF(BZ111&lt;&gt;"ПОЛНО","BLOCK: неполная форма",IF(O111&lt;&gt;"Да","BLOCK: ввоз не разрешён",IF(P111&lt;&gt;"Да","BLOCK: документы не подтверждены",IF(ABS(AN111-1)&gt;'03_Настройки'!$B$5,"BLOCK: платежи не 100%",IF(AND(BM111&lt;&gt;"",BM111&lt;&gt;"Активна"),"BLOCK: позиция "&amp;BM111,IF(BA111&lt;&gt;"Да","PARTIAL: не покрывает потребность",IF(BB111="ДА","самый дешёвый"&amp;IF(BC111="ДА"," + быстрый","")&amp;IF(BD111="ДА"," + optimal",""),IF(BC111="ДА","самый быстрый"&amp;IF(BD111="ДА"," + optimal",""),IF(BD111="ДА","optimal","Допущен"))))))))))</f>
        <v/>
      </c>
      <c r="BF111" s="25">
        <f>ROW()</f>
        <v>111</v>
      </c>
      <c r="BG111" s="33"/>
      <c r="BH111" s="33"/>
      <c r="BI111" s="33"/>
      <c r="BJ111" s="33"/>
      <c r="BK111" s="33"/>
      <c r="BL111" s="34"/>
      <c r="BM111" s="33"/>
      <c r="BN111" s="35" t="str">
        <f t="shared" si="76"/>
        <v/>
      </c>
      <c r="BO111" s="36" t="str">
        <f t="shared" si="77"/>
        <v/>
      </c>
      <c r="BP111" s="33"/>
      <c r="BQ111" s="38"/>
      <c r="BR111" s="13"/>
      <c r="BS111" s="13"/>
      <c r="BT111" s="13"/>
      <c r="BU111" s="13"/>
      <c r="BV111" s="13"/>
      <c r="BW111" s="13"/>
      <c r="BX111" s="39" t="str">
        <f t="shared" si="78"/>
        <v/>
      </c>
      <c r="BY111" s="47"/>
      <c r="BZ111" s="48" t="str">
        <f t="shared" si="79"/>
        <v/>
      </c>
      <c r="CA111" s="47"/>
      <c r="CB111" s="47"/>
      <c r="CC111" s="47"/>
    </row>
    <row r="112" spans="1:81" ht="14.25" x14ac:dyDescent="0.45">
      <c r="A112" s="10"/>
      <c r="B112" s="10"/>
      <c r="C112" s="10"/>
      <c r="D112" s="10"/>
      <c r="E112" s="10"/>
      <c r="F112" s="10"/>
      <c r="G112" s="10"/>
      <c r="H112" s="25" t="str">
        <f>IFERROR(VLOOKUP(C112,'01_Поставщики'!$A$4:$M$11,2,FALSE()),"")</f>
        <v/>
      </c>
      <c r="I112" s="10"/>
      <c r="J112" s="25" t="str">
        <f>IFERROR(VLOOKUP(C112,'01_Поставщики'!$A$4:$M$11,8,FALSE()),"")</f>
        <v/>
      </c>
      <c r="K112" s="25" t="str">
        <f>IFERROR(VLOOKUP(C112,'01_Поставщики'!$A$4:$M$11,4,FALSE()),"")</f>
        <v/>
      </c>
      <c r="L112" s="25" t="str">
        <f>IFERROR(VLOOKUP(C112,'01_Поставщики'!$A$4:$M$11,10,FALSE()),"")</f>
        <v/>
      </c>
      <c r="M112" s="26" t="str">
        <f>IF(OR(A112="",B112=""),"",IFERROR(SUMIFS('04_Потребность'!$B$4:$B$103,'04_Потребность'!$A$4:$A$103,A112,'04_Потребность'!$C$4:$C$103,B112),0))</f>
        <v/>
      </c>
      <c r="N112" s="11"/>
      <c r="O112" s="10"/>
      <c r="P112" s="10"/>
      <c r="Q112" s="27"/>
      <c r="R112" s="27"/>
      <c r="S112" s="8"/>
      <c r="T112" s="8">
        <f>IFERROR(INDEX('02_Схемы оплаты'!$C$4:$C$19,MATCH($C112&amp;"|"&amp;$G112,'02_Схемы оплаты'!$H$4:$H$19,0)),0)</f>
        <v>0</v>
      </c>
      <c r="U112" s="11"/>
      <c r="V112" s="28"/>
      <c r="W112" s="8"/>
      <c r="X112" s="8">
        <f>IFERROR(INDEX('02_Схемы оплаты'!$D$4:$D$19,MATCH($C112&amp;"|"&amp;$G112,'02_Схемы оплаты'!$H$4:$H$19,0)),0)</f>
        <v>0</v>
      </c>
      <c r="Y112" s="11"/>
      <c r="Z112" s="28"/>
      <c r="AA112" s="8"/>
      <c r="AB112" s="8">
        <f>IFERROR(INDEX('02_Схемы оплаты'!$E$4:$E$19,MATCH($C112&amp;"|"&amp;$G112,'02_Схемы оплаты'!$H$4:$H$19,0)),0)</f>
        <v>0</v>
      </c>
      <c r="AC112" s="11"/>
      <c r="AD112" s="28"/>
      <c r="AE112" s="8"/>
      <c r="AF112" s="10"/>
      <c r="AG112" s="10"/>
      <c r="AH112" s="25">
        <f>IFERROR(SUMIFS('04_Потребность'!$D$4:$D$103,'04_Потребность'!$A$4:$A$103,A112,'04_Потребность'!$C$4:$C$103,B112),0)</f>
        <v>0</v>
      </c>
      <c r="AI112" s="26" t="str">
        <f>IF(OR(A112="",B112=""),"",IFERROR(SUMIFS('04_Потребность'!$E$4:$E$103,'04_Потребность'!$A$4:$A$103,A112,'04_Потребность'!$C$4:$C$103,B112),0))</f>
        <v/>
      </c>
      <c r="AJ112" s="25" t="str">
        <f>IF(OR(A112="",B112=""),"",IFERROR(SUMIFS('04_Потребность'!$F$4:$F$103,'04_Потребность'!$A$4:$A$103,A112,'04_Потребность'!$C$4:$C$103,B112),0))</f>
        <v/>
      </c>
      <c r="AK112" s="29" t="str">
        <f>IF(OR(A112="",B112=""),"",IFERROR(SUMIFS('04_Потребность'!$G$4:$G$103,'04_Потребность'!$A$4:$A$103,A112,'04_Потребность'!$C$4:$C$103,B112),0))</f>
        <v/>
      </c>
      <c r="AL112" s="25" t="str">
        <f>IF('03_Настройки'!$B$7="Нет","Нет",IF(COUNTIFS('04_Потребность'!$A$4:$A$103,A112,'04_Потребность'!$C$4:$C$103,B112,'04_Потребность'!$H$4:$H$103,"Да")&gt;0,"Да","Нет"))</f>
        <v>Нет</v>
      </c>
      <c r="AM112" s="30">
        <f t="shared" si="60"/>
        <v>0</v>
      </c>
      <c r="AN112" s="30">
        <f t="shared" si="61"/>
        <v>0</v>
      </c>
      <c r="AO112" s="29">
        <f t="shared" si="62"/>
        <v>0</v>
      </c>
      <c r="AP112" s="29">
        <f t="shared" si="63"/>
        <v>0</v>
      </c>
      <c r="AQ112" s="29">
        <f t="shared" si="64"/>
        <v>0</v>
      </c>
      <c r="AR112" s="29">
        <f>IFERROR(E112*'03_Настройки'!$B$4/365*(IF(T112&gt;0,T112*V112*(1+W112)*MAX(0,N112-U112),0)+IF(X112&gt;0,X112*Z112*(1+AA112)*MAX(0,N112-Y112),0)+IF(AB112&gt;0,AB112*AD112*(1+AE112)*MAX(0,N112-AC112),0)),0)</f>
        <v>0</v>
      </c>
      <c r="AS112" s="29">
        <f t="shared" si="65"/>
        <v>0</v>
      </c>
      <c r="AT112" s="31">
        <f t="shared" si="66"/>
        <v>0</v>
      </c>
      <c r="AU112" s="31">
        <f t="shared" si="67"/>
        <v>0</v>
      </c>
      <c r="AV112" s="32">
        <f t="shared" si="68"/>
        <v>0</v>
      </c>
      <c r="AW112" s="29" t="e">
        <f t="shared" si="69"/>
        <v>#VALUE!</v>
      </c>
      <c r="AX112" s="29">
        <f t="shared" si="70"/>
        <v>0</v>
      </c>
      <c r="AY112" s="29" t="e">
        <f t="shared" si="71"/>
        <v>#VALUE!</v>
      </c>
      <c r="AZ112" s="25" t="str">
        <f>IF(AND(A112&lt;&gt;"",B112&lt;&gt;"",C112&lt;&gt;"",D112&gt;0,E112&gt;0,N112&lt;&gt;"",AH112&gt;0,O112="Да",P112="Да",BZ112="ПОЛНО",ABS(AN112-1)&lt;='03_Настройки'!$B$5,IF(T112&gt;0,AND(U112&lt;&gt;"",V112&gt;0),TRUE()),IF(X112&gt;0,AND(Y112&lt;&gt;"",Z112&gt;0),TRUE()),IF(AB112&gt;0,AND(AC112&lt;&gt;"",AD112&gt;0),TRUE()),OR(BM112="",BM112="Активна")),"Да","Нет")</f>
        <v>Нет</v>
      </c>
      <c r="BA112" s="25" t="str">
        <f t="shared" si="72"/>
        <v>Нет</v>
      </c>
      <c r="BB112" s="25" t="str">
        <f t="shared" si="73"/>
        <v/>
      </c>
      <c r="BC112" s="25" t="str">
        <f t="shared" si="74"/>
        <v/>
      </c>
      <c r="BD112" s="25" t="str">
        <f t="shared" si="75"/>
        <v/>
      </c>
      <c r="BE112" s="25" t="str">
        <f>IF(A112="","",IF(BZ112&lt;&gt;"ПОЛНО","BLOCK: неполная форма",IF(O112&lt;&gt;"Да","BLOCK: ввоз не разрешён",IF(P112&lt;&gt;"Да","BLOCK: документы не подтверждены",IF(ABS(AN112-1)&gt;'03_Настройки'!$B$5,"BLOCK: платежи не 100%",IF(AND(BM112&lt;&gt;"",BM112&lt;&gt;"Активна"),"BLOCK: позиция "&amp;BM112,IF(BA112&lt;&gt;"Да","PARTIAL: не покрывает потребность",IF(BB112="ДА","самый дешёвый"&amp;IF(BC112="ДА"," + быстрый","")&amp;IF(BD112="ДА"," + optimal",""),IF(BC112="ДА","самый быстрый"&amp;IF(BD112="ДА"," + optimal",""),IF(BD112="ДА","optimal","Допущен"))))))))))</f>
        <v/>
      </c>
      <c r="BF112" s="25">
        <f>ROW()</f>
        <v>112</v>
      </c>
      <c r="BG112" s="33"/>
      <c r="BH112" s="33"/>
      <c r="BI112" s="33"/>
      <c r="BJ112" s="33"/>
      <c r="BK112" s="33"/>
      <c r="BL112" s="34"/>
      <c r="BM112" s="33"/>
      <c r="BN112" s="35" t="str">
        <f t="shared" si="76"/>
        <v/>
      </c>
      <c r="BO112" s="36" t="str">
        <f t="shared" si="77"/>
        <v/>
      </c>
      <c r="BP112" s="33"/>
      <c r="BQ112" s="38"/>
      <c r="BR112" s="13"/>
      <c r="BS112" s="13"/>
      <c r="BT112" s="13"/>
      <c r="BU112" s="13"/>
      <c r="BV112" s="13"/>
      <c r="BW112" s="13"/>
      <c r="BX112" s="39" t="str">
        <f t="shared" si="78"/>
        <v/>
      </c>
      <c r="BY112" s="47"/>
      <c r="BZ112" s="48" t="str">
        <f t="shared" si="79"/>
        <v/>
      </c>
      <c r="CA112" s="47"/>
      <c r="CB112" s="47"/>
      <c r="CC112" s="47"/>
    </row>
    <row r="113" spans="1:81" ht="14.25" x14ac:dyDescent="0.45">
      <c r="A113" s="10"/>
      <c r="B113" s="10"/>
      <c r="C113" s="10"/>
      <c r="D113" s="10"/>
      <c r="E113" s="10"/>
      <c r="F113" s="10"/>
      <c r="G113" s="10"/>
      <c r="H113" s="25" t="str">
        <f>IFERROR(VLOOKUP(C113,'01_Поставщики'!$A$4:$M$11,2,FALSE()),"")</f>
        <v/>
      </c>
      <c r="I113" s="10"/>
      <c r="J113" s="25" t="str">
        <f>IFERROR(VLOOKUP(C113,'01_Поставщики'!$A$4:$M$11,8,FALSE()),"")</f>
        <v/>
      </c>
      <c r="K113" s="25" t="str">
        <f>IFERROR(VLOOKUP(C113,'01_Поставщики'!$A$4:$M$11,4,FALSE()),"")</f>
        <v/>
      </c>
      <c r="L113" s="25" t="str">
        <f>IFERROR(VLOOKUP(C113,'01_Поставщики'!$A$4:$M$11,10,FALSE()),"")</f>
        <v/>
      </c>
      <c r="M113" s="26" t="str">
        <f>IF(OR(A113="",B113=""),"",IFERROR(SUMIFS('04_Потребность'!$B$4:$B$103,'04_Потребность'!$A$4:$A$103,A113,'04_Потребность'!$C$4:$C$103,B113),0))</f>
        <v/>
      </c>
      <c r="N113" s="11"/>
      <c r="O113" s="10"/>
      <c r="P113" s="10"/>
      <c r="Q113" s="27"/>
      <c r="R113" s="27"/>
      <c r="S113" s="8"/>
      <c r="T113" s="8">
        <f>IFERROR(INDEX('02_Схемы оплаты'!$C$4:$C$19,MATCH($C113&amp;"|"&amp;$G113,'02_Схемы оплаты'!$H$4:$H$19,0)),0)</f>
        <v>0</v>
      </c>
      <c r="U113" s="11"/>
      <c r="V113" s="28"/>
      <c r="W113" s="8"/>
      <c r="X113" s="8">
        <f>IFERROR(INDEX('02_Схемы оплаты'!$D$4:$D$19,MATCH($C113&amp;"|"&amp;$G113,'02_Схемы оплаты'!$H$4:$H$19,0)),0)</f>
        <v>0</v>
      </c>
      <c r="Y113" s="11"/>
      <c r="Z113" s="28"/>
      <c r="AA113" s="8"/>
      <c r="AB113" s="8">
        <f>IFERROR(INDEX('02_Схемы оплаты'!$E$4:$E$19,MATCH($C113&amp;"|"&amp;$G113,'02_Схемы оплаты'!$H$4:$H$19,0)),0)</f>
        <v>0</v>
      </c>
      <c r="AC113" s="11"/>
      <c r="AD113" s="28"/>
      <c r="AE113" s="8"/>
      <c r="AF113" s="10"/>
      <c r="AG113" s="10"/>
      <c r="AH113" s="25">
        <f>IFERROR(SUMIFS('04_Потребность'!$D$4:$D$103,'04_Потребность'!$A$4:$A$103,A113,'04_Потребность'!$C$4:$C$103,B113),0)</f>
        <v>0</v>
      </c>
      <c r="AI113" s="26" t="str">
        <f>IF(OR(A113="",B113=""),"",IFERROR(SUMIFS('04_Потребность'!$E$4:$E$103,'04_Потребность'!$A$4:$A$103,A113,'04_Потребность'!$C$4:$C$103,B113),0))</f>
        <v/>
      </c>
      <c r="AJ113" s="25" t="str">
        <f>IF(OR(A113="",B113=""),"",IFERROR(SUMIFS('04_Потребность'!$F$4:$F$103,'04_Потребность'!$A$4:$A$103,A113,'04_Потребность'!$C$4:$C$103,B113),0))</f>
        <v/>
      </c>
      <c r="AK113" s="29" t="str">
        <f>IF(OR(A113="",B113=""),"",IFERROR(SUMIFS('04_Потребность'!$G$4:$G$103,'04_Потребность'!$A$4:$A$103,A113,'04_Потребность'!$C$4:$C$103,B113),0))</f>
        <v/>
      </c>
      <c r="AL113" s="25" t="str">
        <f>IF('03_Настройки'!$B$7="Нет","Нет",IF(COUNTIFS('04_Потребность'!$A$4:$A$103,A113,'04_Потребность'!$C$4:$C$103,B113,'04_Потребность'!$H$4:$H$103,"Да")&gt;0,"Да","Нет"))</f>
        <v>Нет</v>
      </c>
      <c r="AM113" s="30">
        <f t="shared" si="60"/>
        <v>0</v>
      </c>
      <c r="AN113" s="30">
        <f t="shared" si="61"/>
        <v>0</v>
      </c>
      <c r="AO113" s="29">
        <f t="shared" si="62"/>
        <v>0</v>
      </c>
      <c r="AP113" s="29">
        <f t="shared" si="63"/>
        <v>0</v>
      </c>
      <c r="AQ113" s="29">
        <f t="shared" si="64"/>
        <v>0</v>
      </c>
      <c r="AR113" s="29">
        <f>IFERROR(E113*'03_Настройки'!$B$4/365*(IF(T113&gt;0,T113*V113*(1+W113)*MAX(0,N113-U113),0)+IF(X113&gt;0,X113*Z113*(1+AA113)*MAX(0,N113-Y113),0)+IF(AB113&gt;0,AB113*AD113*(1+AE113)*MAX(0,N113-AC113),0)),0)</f>
        <v>0</v>
      </c>
      <c r="AS113" s="29">
        <f t="shared" si="65"/>
        <v>0</v>
      </c>
      <c r="AT113" s="31">
        <f t="shared" si="66"/>
        <v>0</v>
      </c>
      <c r="AU113" s="31">
        <f t="shared" si="67"/>
        <v>0</v>
      </c>
      <c r="AV113" s="32">
        <f t="shared" si="68"/>
        <v>0</v>
      </c>
      <c r="AW113" s="29" t="e">
        <f t="shared" si="69"/>
        <v>#VALUE!</v>
      </c>
      <c r="AX113" s="29">
        <f t="shared" si="70"/>
        <v>0</v>
      </c>
      <c r="AY113" s="29" t="e">
        <f t="shared" si="71"/>
        <v>#VALUE!</v>
      </c>
      <c r="AZ113" s="25" t="str">
        <f>IF(AND(A113&lt;&gt;"",B113&lt;&gt;"",C113&lt;&gt;"",D113&gt;0,E113&gt;0,N113&lt;&gt;"",AH113&gt;0,O113="Да",P113="Да",BZ113="ПОЛНО",ABS(AN113-1)&lt;='03_Настройки'!$B$5,IF(T113&gt;0,AND(U113&lt;&gt;"",V113&gt;0),TRUE()),IF(X113&gt;0,AND(Y113&lt;&gt;"",Z113&gt;0),TRUE()),IF(AB113&gt;0,AND(AC113&lt;&gt;"",AD113&gt;0),TRUE()),OR(BM113="",BM113="Активна")),"Да","Нет")</f>
        <v>Нет</v>
      </c>
      <c r="BA113" s="25" t="str">
        <f t="shared" si="72"/>
        <v>Нет</v>
      </c>
      <c r="BB113" s="25" t="str">
        <f t="shared" si="73"/>
        <v/>
      </c>
      <c r="BC113" s="25" t="str">
        <f t="shared" si="74"/>
        <v/>
      </c>
      <c r="BD113" s="25" t="str">
        <f t="shared" si="75"/>
        <v/>
      </c>
      <c r="BE113" s="25" t="str">
        <f>IF(A113="","",IF(BZ113&lt;&gt;"ПОЛНО","BLOCK: неполная форма",IF(O113&lt;&gt;"Да","BLOCK: ввоз не разрешён",IF(P113&lt;&gt;"Да","BLOCK: документы не подтверждены",IF(ABS(AN113-1)&gt;'03_Настройки'!$B$5,"BLOCK: платежи не 100%",IF(AND(BM113&lt;&gt;"",BM113&lt;&gt;"Активна"),"BLOCK: позиция "&amp;BM113,IF(BA113&lt;&gt;"Да","PARTIAL: не покрывает потребность",IF(BB113="ДА","самый дешёвый"&amp;IF(BC113="ДА"," + быстрый","")&amp;IF(BD113="ДА"," + optimal",""),IF(BC113="ДА","самый быстрый"&amp;IF(BD113="ДА"," + optimal",""),IF(BD113="ДА","optimal","Допущен"))))))))))</f>
        <v/>
      </c>
      <c r="BF113" s="25">
        <f>ROW()</f>
        <v>113</v>
      </c>
      <c r="BG113" s="33"/>
      <c r="BH113" s="33"/>
      <c r="BI113" s="33"/>
      <c r="BJ113" s="33"/>
      <c r="BK113" s="33"/>
      <c r="BL113" s="34"/>
      <c r="BM113" s="33"/>
      <c r="BN113" s="35" t="str">
        <f t="shared" si="76"/>
        <v/>
      </c>
      <c r="BO113" s="36" t="str">
        <f t="shared" si="77"/>
        <v/>
      </c>
      <c r="BP113" s="33"/>
      <c r="BQ113" s="38"/>
      <c r="BR113" s="13"/>
      <c r="BS113" s="13"/>
      <c r="BT113" s="13"/>
      <c r="BU113" s="13"/>
      <c r="BV113" s="13"/>
      <c r="BW113" s="13"/>
      <c r="BX113" s="39" t="str">
        <f t="shared" si="78"/>
        <v/>
      </c>
      <c r="BY113" s="47"/>
      <c r="BZ113" s="48" t="str">
        <f t="shared" si="79"/>
        <v/>
      </c>
      <c r="CA113" s="47"/>
      <c r="CB113" s="47"/>
      <c r="CC113" s="47"/>
    </row>
    <row r="114" spans="1:81" ht="14.25" x14ac:dyDescent="0.45">
      <c r="A114" s="10"/>
      <c r="B114" s="10"/>
      <c r="C114" s="10"/>
      <c r="D114" s="10"/>
      <c r="E114" s="10"/>
      <c r="F114" s="10"/>
      <c r="G114" s="10"/>
      <c r="H114" s="25" t="str">
        <f>IFERROR(VLOOKUP(C114,'01_Поставщики'!$A$4:$M$11,2,FALSE()),"")</f>
        <v/>
      </c>
      <c r="I114" s="10"/>
      <c r="J114" s="25" t="str">
        <f>IFERROR(VLOOKUP(C114,'01_Поставщики'!$A$4:$M$11,8,FALSE()),"")</f>
        <v/>
      </c>
      <c r="K114" s="25" t="str">
        <f>IFERROR(VLOOKUP(C114,'01_Поставщики'!$A$4:$M$11,4,FALSE()),"")</f>
        <v/>
      </c>
      <c r="L114" s="25" t="str">
        <f>IFERROR(VLOOKUP(C114,'01_Поставщики'!$A$4:$M$11,10,FALSE()),"")</f>
        <v/>
      </c>
      <c r="M114" s="26" t="str">
        <f>IF(OR(A114="",B114=""),"",IFERROR(SUMIFS('04_Потребность'!$B$4:$B$103,'04_Потребность'!$A$4:$A$103,A114,'04_Потребность'!$C$4:$C$103,B114),0))</f>
        <v/>
      </c>
      <c r="N114" s="11"/>
      <c r="O114" s="10"/>
      <c r="P114" s="10"/>
      <c r="Q114" s="27"/>
      <c r="R114" s="27"/>
      <c r="S114" s="8"/>
      <c r="T114" s="8">
        <f>IFERROR(INDEX('02_Схемы оплаты'!$C$4:$C$19,MATCH($C114&amp;"|"&amp;$G114,'02_Схемы оплаты'!$H$4:$H$19,0)),0)</f>
        <v>0</v>
      </c>
      <c r="U114" s="11"/>
      <c r="V114" s="28"/>
      <c r="W114" s="8"/>
      <c r="X114" s="8">
        <f>IFERROR(INDEX('02_Схемы оплаты'!$D$4:$D$19,MATCH($C114&amp;"|"&amp;$G114,'02_Схемы оплаты'!$H$4:$H$19,0)),0)</f>
        <v>0</v>
      </c>
      <c r="Y114" s="11"/>
      <c r="Z114" s="28"/>
      <c r="AA114" s="8"/>
      <c r="AB114" s="8">
        <f>IFERROR(INDEX('02_Схемы оплаты'!$E$4:$E$19,MATCH($C114&amp;"|"&amp;$G114,'02_Схемы оплаты'!$H$4:$H$19,0)),0)</f>
        <v>0</v>
      </c>
      <c r="AC114" s="11"/>
      <c r="AD114" s="28"/>
      <c r="AE114" s="8"/>
      <c r="AF114" s="10"/>
      <c r="AG114" s="10"/>
      <c r="AH114" s="25">
        <f>IFERROR(SUMIFS('04_Потребность'!$D$4:$D$103,'04_Потребность'!$A$4:$A$103,A114,'04_Потребность'!$C$4:$C$103,B114),0)</f>
        <v>0</v>
      </c>
      <c r="AI114" s="26" t="str">
        <f>IF(OR(A114="",B114=""),"",IFERROR(SUMIFS('04_Потребность'!$E$4:$E$103,'04_Потребность'!$A$4:$A$103,A114,'04_Потребность'!$C$4:$C$103,B114),0))</f>
        <v/>
      </c>
      <c r="AJ114" s="25" t="str">
        <f>IF(OR(A114="",B114=""),"",IFERROR(SUMIFS('04_Потребность'!$F$4:$F$103,'04_Потребность'!$A$4:$A$103,A114,'04_Потребность'!$C$4:$C$103,B114),0))</f>
        <v/>
      </c>
      <c r="AK114" s="29" t="str">
        <f>IF(OR(A114="",B114=""),"",IFERROR(SUMIFS('04_Потребность'!$G$4:$G$103,'04_Потребность'!$A$4:$A$103,A114,'04_Потребность'!$C$4:$C$103,B114),0))</f>
        <v/>
      </c>
      <c r="AL114" s="25" t="str">
        <f>IF('03_Настройки'!$B$7="Нет","Нет",IF(COUNTIFS('04_Потребность'!$A$4:$A$103,A114,'04_Потребность'!$C$4:$C$103,B114,'04_Потребность'!$H$4:$H$103,"Да")&gt;0,"Да","Нет"))</f>
        <v>Нет</v>
      </c>
      <c r="AM114" s="30">
        <f t="shared" si="60"/>
        <v>0</v>
      </c>
      <c r="AN114" s="30">
        <f t="shared" si="61"/>
        <v>0</v>
      </c>
      <c r="AO114" s="29">
        <f t="shared" si="62"/>
        <v>0</v>
      </c>
      <c r="AP114" s="29">
        <f t="shared" si="63"/>
        <v>0</v>
      </c>
      <c r="AQ114" s="29">
        <f t="shared" si="64"/>
        <v>0</v>
      </c>
      <c r="AR114" s="29">
        <f>IFERROR(E114*'03_Настройки'!$B$4/365*(IF(T114&gt;0,T114*V114*(1+W114)*MAX(0,N114-U114),0)+IF(X114&gt;0,X114*Z114*(1+AA114)*MAX(0,N114-Y114),0)+IF(AB114&gt;0,AB114*AD114*(1+AE114)*MAX(0,N114-AC114),0)),0)</f>
        <v>0</v>
      </c>
      <c r="AS114" s="29">
        <f t="shared" si="65"/>
        <v>0</v>
      </c>
      <c r="AT114" s="31">
        <f t="shared" si="66"/>
        <v>0</v>
      </c>
      <c r="AU114" s="31">
        <f t="shared" si="67"/>
        <v>0</v>
      </c>
      <c r="AV114" s="32">
        <f t="shared" si="68"/>
        <v>0</v>
      </c>
      <c r="AW114" s="29" t="e">
        <f t="shared" si="69"/>
        <v>#VALUE!</v>
      </c>
      <c r="AX114" s="29">
        <f t="shared" si="70"/>
        <v>0</v>
      </c>
      <c r="AY114" s="29" t="e">
        <f t="shared" si="71"/>
        <v>#VALUE!</v>
      </c>
      <c r="AZ114" s="25" t="str">
        <f>IF(AND(A114&lt;&gt;"",B114&lt;&gt;"",C114&lt;&gt;"",D114&gt;0,E114&gt;0,N114&lt;&gt;"",AH114&gt;0,O114="Да",P114="Да",BZ114="ПОЛНО",ABS(AN114-1)&lt;='03_Настройки'!$B$5,IF(T114&gt;0,AND(U114&lt;&gt;"",V114&gt;0),TRUE()),IF(X114&gt;0,AND(Y114&lt;&gt;"",Z114&gt;0),TRUE()),IF(AB114&gt;0,AND(AC114&lt;&gt;"",AD114&gt;0),TRUE()),OR(BM114="",BM114="Активна")),"Да","Нет")</f>
        <v>Нет</v>
      </c>
      <c r="BA114" s="25" t="str">
        <f t="shared" si="72"/>
        <v>Нет</v>
      </c>
      <c r="BB114" s="25" t="str">
        <f t="shared" si="73"/>
        <v/>
      </c>
      <c r="BC114" s="25" t="str">
        <f t="shared" si="74"/>
        <v/>
      </c>
      <c r="BD114" s="25" t="str">
        <f t="shared" si="75"/>
        <v/>
      </c>
      <c r="BE114" s="25" t="str">
        <f>IF(A114="","",IF(BZ114&lt;&gt;"ПОЛНО","BLOCK: неполная форма",IF(O114&lt;&gt;"Да","BLOCK: ввоз не разрешён",IF(P114&lt;&gt;"Да","BLOCK: документы не подтверждены",IF(ABS(AN114-1)&gt;'03_Настройки'!$B$5,"BLOCK: платежи не 100%",IF(AND(BM114&lt;&gt;"",BM114&lt;&gt;"Активна"),"BLOCK: позиция "&amp;BM114,IF(BA114&lt;&gt;"Да","PARTIAL: не покрывает потребность",IF(BB114="ДА","самый дешёвый"&amp;IF(BC114="ДА"," + быстрый","")&amp;IF(BD114="ДА"," + optimal",""),IF(BC114="ДА","самый быстрый"&amp;IF(BD114="ДА"," + optimal",""),IF(BD114="ДА","optimal","Допущен"))))))))))</f>
        <v/>
      </c>
      <c r="BF114" s="25">
        <f>ROW()</f>
        <v>114</v>
      </c>
      <c r="BG114" s="33"/>
      <c r="BH114" s="33"/>
      <c r="BI114" s="33"/>
      <c r="BJ114" s="33"/>
      <c r="BK114" s="33"/>
      <c r="BL114" s="34"/>
      <c r="BM114" s="33"/>
      <c r="BN114" s="35" t="str">
        <f t="shared" si="76"/>
        <v/>
      </c>
      <c r="BO114" s="36" t="str">
        <f t="shared" si="77"/>
        <v/>
      </c>
      <c r="BP114" s="33"/>
      <c r="BQ114" s="38"/>
      <c r="BR114" s="13"/>
      <c r="BS114" s="13"/>
      <c r="BT114" s="13"/>
      <c r="BU114" s="13"/>
      <c r="BV114" s="13"/>
      <c r="BW114" s="13"/>
      <c r="BX114" s="39" t="str">
        <f t="shared" si="78"/>
        <v/>
      </c>
      <c r="BY114" s="47"/>
      <c r="BZ114" s="48" t="str">
        <f t="shared" si="79"/>
        <v/>
      </c>
      <c r="CA114" s="47"/>
      <c r="CB114" s="47"/>
      <c r="CC114" s="47"/>
    </row>
    <row r="115" spans="1:81" ht="14.25" x14ac:dyDescent="0.45">
      <c r="A115" s="10"/>
      <c r="B115" s="10"/>
      <c r="C115" s="10"/>
      <c r="D115" s="10"/>
      <c r="E115" s="10"/>
      <c r="F115" s="10"/>
      <c r="G115" s="10"/>
      <c r="H115" s="25" t="str">
        <f>IFERROR(VLOOKUP(C115,'01_Поставщики'!$A$4:$M$11,2,FALSE()),"")</f>
        <v/>
      </c>
      <c r="I115" s="10"/>
      <c r="J115" s="25" t="str">
        <f>IFERROR(VLOOKUP(C115,'01_Поставщики'!$A$4:$M$11,8,FALSE()),"")</f>
        <v/>
      </c>
      <c r="K115" s="25" t="str">
        <f>IFERROR(VLOOKUP(C115,'01_Поставщики'!$A$4:$M$11,4,FALSE()),"")</f>
        <v/>
      </c>
      <c r="L115" s="25" t="str">
        <f>IFERROR(VLOOKUP(C115,'01_Поставщики'!$A$4:$M$11,10,FALSE()),"")</f>
        <v/>
      </c>
      <c r="M115" s="26" t="str">
        <f>IF(OR(A115="",B115=""),"",IFERROR(SUMIFS('04_Потребность'!$B$4:$B$103,'04_Потребность'!$A$4:$A$103,A115,'04_Потребность'!$C$4:$C$103,B115),0))</f>
        <v/>
      </c>
      <c r="N115" s="11"/>
      <c r="O115" s="10"/>
      <c r="P115" s="10"/>
      <c r="Q115" s="27"/>
      <c r="R115" s="27"/>
      <c r="S115" s="8"/>
      <c r="T115" s="8">
        <f>IFERROR(INDEX('02_Схемы оплаты'!$C$4:$C$19,MATCH($C115&amp;"|"&amp;$G115,'02_Схемы оплаты'!$H$4:$H$19,0)),0)</f>
        <v>0</v>
      </c>
      <c r="U115" s="11"/>
      <c r="V115" s="28"/>
      <c r="W115" s="8"/>
      <c r="X115" s="8">
        <f>IFERROR(INDEX('02_Схемы оплаты'!$D$4:$D$19,MATCH($C115&amp;"|"&amp;$G115,'02_Схемы оплаты'!$H$4:$H$19,0)),0)</f>
        <v>0</v>
      </c>
      <c r="Y115" s="11"/>
      <c r="Z115" s="28"/>
      <c r="AA115" s="8"/>
      <c r="AB115" s="8">
        <f>IFERROR(INDEX('02_Схемы оплаты'!$E$4:$E$19,MATCH($C115&amp;"|"&amp;$G115,'02_Схемы оплаты'!$H$4:$H$19,0)),0)</f>
        <v>0</v>
      </c>
      <c r="AC115" s="11"/>
      <c r="AD115" s="28"/>
      <c r="AE115" s="8"/>
      <c r="AF115" s="10"/>
      <c r="AG115" s="10"/>
      <c r="AH115" s="25">
        <f>IFERROR(SUMIFS('04_Потребность'!$D$4:$D$103,'04_Потребность'!$A$4:$A$103,A115,'04_Потребность'!$C$4:$C$103,B115),0)</f>
        <v>0</v>
      </c>
      <c r="AI115" s="26" t="str">
        <f>IF(OR(A115="",B115=""),"",IFERROR(SUMIFS('04_Потребность'!$E$4:$E$103,'04_Потребность'!$A$4:$A$103,A115,'04_Потребность'!$C$4:$C$103,B115),0))</f>
        <v/>
      </c>
      <c r="AJ115" s="25" t="str">
        <f>IF(OR(A115="",B115=""),"",IFERROR(SUMIFS('04_Потребность'!$F$4:$F$103,'04_Потребность'!$A$4:$A$103,A115,'04_Потребность'!$C$4:$C$103,B115),0))</f>
        <v/>
      </c>
      <c r="AK115" s="29" t="str">
        <f>IF(OR(A115="",B115=""),"",IFERROR(SUMIFS('04_Потребность'!$G$4:$G$103,'04_Потребность'!$A$4:$A$103,A115,'04_Потребность'!$C$4:$C$103,B115),0))</f>
        <v/>
      </c>
      <c r="AL115" s="25" t="str">
        <f>IF('03_Настройки'!$B$7="Нет","Нет",IF(COUNTIFS('04_Потребность'!$A$4:$A$103,A115,'04_Потребность'!$C$4:$C$103,B115,'04_Потребность'!$H$4:$H$103,"Да")&gt;0,"Да","Нет"))</f>
        <v>Нет</v>
      </c>
      <c r="AM115" s="30">
        <f t="shared" si="60"/>
        <v>0</v>
      </c>
      <c r="AN115" s="30">
        <f t="shared" si="61"/>
        <v>0</v>
      </c>
      <c r="AO115" s="29">
        <f t="shared" si="62"/>
        <v>0</v>
      </c>
      <c r="AP115" s="29">
        <f t="shared" si="63"/>
        <v>0</v>
      </c>
      <c r="AQ115" s="29">
        <f t="shared" si="64"/>
        <v>0</v>
      </c>
      <c r="AR115" s="29">
        <f>IFERROR(E115*'03_Настройки'!$B$4/365*(IF(T115&gt;0,T115*V115*(1+W115)*MAX(0,N115-U115),0)+IF(X115&gt;0,X115*Z115*(1+AA115)*MAX(0,N115-Y115),0)+IF(AB115&gt;0,AB115*AD115*(1+AE115)*MAX(0,N115-AC115),0)),0)</f>
        <v>0</v>
      </c>
      <c r="AS115" s="29">
        <f t="shared" si="65"/>
        <v>0</v>
      </c>
      <c r="AT115" s="31">
        <f t="shared" si="66"/>
        <v>0</v>
      </c>
      <c r="AU115" s="31">
        <f t="shared" si="67"/>
        <v>0</v>
      </c>
      <c r="AV115" s="32">
        <f t="shared" si="68"/>
        <v>0</v>
      </c>
      <c r="AW115" s="29" t="e">
        <f t="shared" si="69"/>
        <v>#VALUE!</v>
      </c>
      <c r="AX115" s="29">
        <f t="shared" si="70"/>
        <v>0</v>
      </c>
      <c r="AY115" s="29" t="e">
        <f t="shared" si="71"/>
        <v>#VALUE!</v>
      </c>
      <c r="AZ115" s="25" t="str">
        <f>IF(AND(A115&lt;&gt;"",B115&lt;&gt;"",C115&lt;&gt;"",D115&gt;0,E115&gt;0,N115&lt;&gt;"",AH115&gt;0,O115="Да",P115="Да",BZ115="ПОЛНО",ABS(AN115-1)&lt;='03_Настройки'!$B$5,IF(T115&gt;0,AND(U115&lt;&gt;"",V115&gt;0),TRUE()),IF(X115&gt;0,AND(Y115&lt;&gt;"",Z115&gt;0),TRUE()),IF(AB115&gt;0,AND(AC115&lt;&gt;"",AD115&gt;0),TRUE()),OR(BM115="",BM115="Активна")),"Да","Нет")</f>
        <v>Нет</v>
      </c>
      <c r="BA115" s="25" t="str">
        <f t="shared" si="72"/>
        <v>Нет</v>
      </c>
      <c r="BB115" s="25" t="str">
        <f t="shared" si="73"/>
        <v/>
      </c>
      <c r="BC115" s="25" t="str">
        <f t="shared" si="74"/>
        <v/>
      </c>
      <c r="BD115" s="25" t="str">
        <f t="shared" si="75"/>
        <v/>
      </c>
      <c r="BE115" s="25" t="str">
        <f>IF(A115="","",IF(BZ115&lt;&gt;"ПОЛНО","BLOCK: неполная форма",IF(O115&lt;&gt;"Да","BLOCK: ввоз не разрешён",IF(P115&lt;&gt;"Да","BLOCK: документы не подтверждены",IF(ABS(AN115-1)&gt;'03_Настройки'!$B$5,"BLOCK: платежи не 100%",IF(AND(BM115&lt;&gt;"",BM115&lt;&gt;"Активна"),"BLOCK: позиция "&amp;BM115,IF(BA115&lt;&gt;"Да","PARTIAL: не покрывает потребность",IF(BB115="ДА","самый дешёвый"&amp;IF(BC115="ДА"," + быстрый","")&amp;IF(BD115="ДА"," + optimal",""),IF(BC115="ДА","самый быстрый"&amp;IF(BD115="ДА"," + optimal",""),IF(BD115="ДА","optimal","Допущен"))))))))))</f>
        <v/>
      </c>
      <c r="BF115" s="25">
        <f>ROW()</f>
        <v>115</v>
      </c>
      <c r="BG115" s="33"/>
      <c r="BH115" s="33"/>
      <c r="BI115" s="33"/>
      <c r="BJ115" s="33"/>
      <c r="BK115" s="33"/>
      <c r="BL115" s="34"/>
      <c r="BM115" s="33"/>
      <c r="BN115" s="35" t="str">
        <f t="shared" si="76"/>
        <v/>
      </c>
      <c r="BO115" s="36" t="str">
        <f t="shared" si="77"/>
        <v/>
      </c>
      <c r="BP115" s="33"/>
      <c r="BQ115" s="38"/>
      <c r="BR115" s="13"/>
      <c r="BS115" s="13"/>
      <c r="BT115" s="13"/>
      <c r="BU115" s="13"/>
      <c r="BV115" s="13"/>
      <c r="BW115" s="13"/>
      <c r="BX115" s="39" t="str">
        <f t="shared" si="78"/>
        <v/>
      </c>
      <c r="BY115" s="47"/>
      <c r="BZ115" s="48" t="str">
        <f t="shared" si="79"/>
        <v/>
      </c>
      <c r="CA115" s="47"/>
      <c r="CB115" s="47"/>
      <c r="CC115" s="47"/>
    </row>
    <row r="116" spans="1:81" ht="14.25" x14ac:dyDescent="0.45">
      <c r="A116" s="10"/>
      <c r="B116" s="10"/>
      <c r="C116" s="10"/>
      <c r="D116" s="10"/>
      <c r="E116" s="10"/>
      <c r="F116" s="10"/>
      <c r="G116" s="10"/>
      <c r="H116" s="25" t="str">
        <f>IFERROR(VLOOKUP(C116,'01_Поставщики'!$A$4:$M$11,2,FALSE()),"")</f>
        <v/>
      </c>
      <c r="I116" s="10"/>
      <c r="J116" s="25" t="str">
        <f>IFERROR(VLOOKUP(C116,'01_Поставщики'!$A$4:$M$11,8,FALSE()),"")</f>
        <v/>
      </c>
      <c r="K116" s="25" t="str">
        <f>IFERROR(VLOOKUP(C116,'01_Поставщики'!$A$4:$M$11,4,FALSE()),"")</f>
        <v/>
      </c>
      <c r="L116" s="25" t="str">
        <f>IFERROR(VLOOKUP(C116,'01_Поставщики'!$A$4:$M$11,10,FALSE()),"")</f>
        <v/>
      </c>
      <c r="M116" s="26" t="str">
        <f>IF(OR(A116="",B116=""),"",IFERROR(SUMIFS('04_Потребность'!$B$4:$B$103,'04_Потребность'!$A$4:$A$103,A116,'04_Потребность'!$C$4:$C$103,B116),0))</f>
        <v/>
      </c>
      <c r="N116" s="11"/>
      <c r="O116" s="10"/>
      <c r="P116" s="10"/>
      <c r="Q116" s="27"/>
      <c r="R116" s="27"/>
      <c r="S116" s="8"/>
      <c r="T116" s="8">
        <f>IFERROR(INDEX('02_Схемы оплаты'!$C$4:$C$19,MATCH($C116&amp;"|"&amp;$G116,'02_Схемы оплаты'!$H$4:$H$19,0)),0)</f>
        <v>0</v>
      </c>
      <c r="U116" s="11"/>
      <c r="V116" s="28"/>
      <c r="W116" s="8"/>
      <c r="X116" s="8">
        <f>IFERROR(INDEX('02_Схемы оплаты'!$D$4:$D$19,MATCH($C116&amp;"|"&amp;$G116,'02_Схемы оплаты'!$H$4:$H$19,0)),0)</f>
        <v>0</v>
      </c>
      <c r="Y116" s="11"/>
      <c r="Z116" s="28"/>
      <c r="AA116" s="8"/>
      <c r="AB116" s="8">
        <f>IFERROR(INDEX('02_Схемы оплаты'!$E$4:$E$19,MATCH($C116&amp;"|"&amp;$G116,'02_Схемы оплаты'!$H$4:$H$19,0)),0)</f>
        <v>0</v>
      </c>
      <c r="AC116" s="11"/>
      <c r="AD116" s="28"/>
      <c r="AE116" s="8"/>
      <c r="AF116" s="10"/>
      <c r="AG116" s="10"/>
      <c r="AH116" s="25">
        <f>IFERROR(SUMIFS('04_Потребность'!$D$4:$D$103,'04_Потребность'!$A$4:$A$103,A116,'04_Потребность'!$C$4:$C$103,B116),0)</f>
        <v>0</v>
      </c>
      <c r="AI116" s="26" t="str">
        <f>IF(OR(A116="",B116=""),"",IFERROR(SUMIFS('04_Потребность'!$E$4:$E$103,'04_Потребность'!$A$4:$A$103,A116,'04_Потребность'!$C$4:$C$103,B116),0))</f>
        <v/>
      </c>
      <c r="AJ116" s="25" t="str">
        <f>IF(OR(A116="",B116=""),"",IFERROR(SUMIFS('04_Потребность'!$F$4:$F$103,'04_Потребность'!$A$4:$A$103,A116,'04_Потребность'!$C$4:$C$103,B116),0))</f>
        <v/>
      </c>
      <c r="AK116" s="29" t="str">
        <f>IF(OR(A116="",B116=""),"",IFERROR(SUMIFS('04_Потребность'!$G$4:$G$103,'04_Потребность'!$A$4:$A$103,A116,'04_Потребность'!$C$4:$C$103,B116),0))</f>
        <v/>
      </c>
      <c r="AL116" s="25" t="str">
        <f>IF('03_Настройки'!$B$7="Нет","Нет",IF(COUNTIFS('04_Потребность'!$A$4:$A$103,A116,'04_Потребность'!$C$4:$C$103,B116,'04_Потребность'!$H$4:$H$103,"Да")&gt;0,"Да","Нет"))</f>
        <v>Нет</v>
      </c>
      <c r="AM116" s="30">
        <f t="shared" si="60"/>
        <v>0</v>
      </c>
      <c r="AN116" s="30">
        <f t="shared" si="61"/>
        <v>0</v>
      </c>
      <c r="AO116" s="29">
        <f t="shared" si="62"/>
        <v>0</v>
      </c>
      <c r="AP116" s="29">
        <f t="shared" si="63"/>
        <v>0</v>
      </c>
      <c r="AQ116" s="29">
        <f t="shared" si="64"/>
        <v>0</v>
      </c>
      <c r="AR116" s="29">
        <f>IFERROR(E116*'03_Настройки'!$B$4/365*(IF(T116&gt;0,T116*V116*(1+W116)*MAX(0,N116-U116),0)+IF(X116&gt;0,X116*Z116*(1+AA116)*MAX(0,N116-Y116),0)+IF(AB116&gt;0,AB116*AD116*(1+AE116)*MAX(0,N116-AC116),0)),0)</f>
        <v>0</v>
      </c>
      <c r="AS116" s="29">
        <f t="shared" si="65"/>
        <v>0</v>
      </c>
      <c r="AT116" s="31">
        <f t="shared" si="66"/>
        <v>0</v>
      </c>
      <c r="AU116" s="31">
        <f t="shared" si="67"/>
        <v>0</v>
      </c>
      <c r="AV116" s="32">
        <f t="shared" si="68"/>
        <v>0</v>
      </c>
      <c r="AW116" s="29" t="e">
        <f t="shared" si="69"/>
        <v>#VALUE!</v>
      </c>
      <c r="AX116" s="29">
        <f t="shared" si="70"/>
        <v>0</v>
      </c>
      <c r="AY116" s="29" t="e">
        <f t="shared" si="71"/>
        <v>#VALUE!</v>
      </c>
      <c r="AZ116" s="25" t="str">
        <f>IF(AND(A116&lt;&gt;"",B116&lt;&gt;"",C116&lt;&gt;"",D116&gt;0,E116&gt;0,N116&lt;&gt;"",AH116&gt;0,O116="Да",P116="Да",BZ116="ПОЛНО",ABS(AN116-1)&lt;='03_Настройки'!$B$5,IF(T116&gt;0,AND(U116&lt;&gt;"",V116&gt;0),TRUE()),IF(X116&gt;0,AND(Y116&lt;&gt;"",Z116&gt;0),TRUE()),IF(AB116&gt;0,AND(AC116&lt;&gt;"",AD116&gt;0),TRUE()),OR(BM116="",BM116="Активна")),"Да","Нет")</f>
        <v>Нет</v>
      </c>
      <c r="BA116" s="25" t="str">
        <f t="shared" si="72"/>
        <v>Нет</v>
      </c>
      <c r="BB116" s="25" t="str">
        <f t="shared" si="73"/>
        <v/>
      </c>
      <c r="BC116" s="25" t="str">
        <f t="shared" si="74"/>
        <v/>
      </c>
      <c r="BD116" s="25" t="str">
        <f t="shared" si="75"/>
        <v/>
      </c>
      <c r="BE116" s="25" t="str">
        <f>IF(A116="","",IF(BZ116&lt;&gt;"ПОЛНО","BLOCK: неполная форма",IF(O116&lt;&gt;"Да","BLOCK: ввоз не разрешён",IF(P116&lt;&gt;"Да","BLOCK: документы не подтверждены",IF(ABS(AN116-1)&gt;'03_Настройки'!$B$5,"BLOCK: платежи не 100%",IF(AND(BM116&lt;&gt;"",BM116&lt;&gt;"Активна"),"BLOCK: позиция "&amp;BM116,IF(BA116&lt;&gt;"Да","PARTIAL: не покрывает потребность",IF(BB116="ДА","самый дешёвый"&amp;IF(BC116="ДА"," + быстрый","")&amp;IF(BD116="ДА"," + optimal",""),IF(BC116="ДА","самый быстрый"&amp;IF(BD116="ДА"," + optimal",""),IF(BD116="ДА","optimal","Допущен"))))))))))</f>
        <v/>
      </c>
      <c r="BF116" s="25">
        <f>ROW()</f>
        <v>116</v>
      </c>
      <c r="BG116" s="33"/>
      <c r="BH116" s="33"/>
      <c r="BI116" s="33"/>
      <c r="BJ116" s="33"/>
      <c r="BK116" s="33"/>
      <c r="BL116" s="34"/>
      <c r="BM116" s="33"/>
      <c r="BN116" s="35" t="str">
        <f t="shared" si="76"/>
        <v/>
      </c>
      <c r="BO116" s="36" t="str">
        <f t="shared" si="77"/>
        <v/>
      </c>
      <c r="BP116" s="33"/>
      <c r="BQ116" s="38"/>
      <c r="BR116" s="13"/>
      <c r="BS116" s="13"/>
      <c r="BT116" s="13"/>
      <c r="BU116" s="13"/>
      <c r="BV116" s="13"/>
      <c r="BW116" s="13"/>
      <c r="BX116" s="39" t="str">
        <f t="shared" si="78"/>
        <v/>
      </c>
      <c r="BY116" s="47"/>
      <c r="BZ116" s="48" t="str">
        <f t="shared" si="79"/>
        <v/>
      </c>
      <c r="CA116" s="47"/>
      <c r="CB116" s="47"/>
      <c r="CC116" s="47"/>
    </row>
    <row r="117" spans="1:81" ht="14.25" x14ac:dyDescent="0.45">
      <c r="A117" s="10"/>
      <c r="B117" s="10"/>
      <c r="C117" s="10"/>
      <c r="D117" s="10"/>
      <c r="E117" s="10"/>
      <c r="F117" s="10"/>
      <c r="G117" s="10"/>
      <c r="H117" s="25" t="str">
        <f>IFERROR(VLOOKUP(C117,'01_Поставщики'!$A$4:$M$11,2,FALSE()),"")</f>
        <v/>
      </c>
      <c r="I117" s="10"/>
      <c r="J117" s="25" t="str">
        <f>IFERROR(VLOOKUP(C117,'01_Поставщики'!$A$4:$M$11,8,FALSE()),"")</f>
        <v/>
      </c>
      <c r="K117" s="25" t="str">
        <f>IFERROR(VLOOKUP(C117,'01_Поставщики'!$A$4:$M$11,4,FALSE()),"")</f>
        <v/>
      </c>
      <c r="L117" s="25" t="str">
        <f>IFERROR(VLOOKUP(C117,'01_Поставщики'!$A$4:$M$11,10,FALSE()),"")</f>
        <v/>
      </c>
      <c r="M117" s="26" t="str">
        <f>IF(OR(A117="",B117=""),"",IFERROR(SUMIFS('04_Потребность'!$B$4:$B$103,'04_Потребность'!$A$4:$A$103,A117,'04_Потребность'!$C$4:$C$103,B117),0))</f>
        <v/>
      </c>
      <c r="N117" s="11"/>
      <c r="O117" s="10"/>
      <c r="P117" s="10"/>
      <c r="Q117" s="27"/>
      <c r="R117" s="27"/>
      <c r="S117" s="8"/>
      <c r="T117" s="8">
        <f>IFERROR(INDEX('02_Схемы оплаты'!$C$4:$C$19,MATCH($C117&amp;"|"&amp;$G117,'02_Схемы оплаты'!$H$4:$H$19,0)),0)</f>
        <v>0</v>
      </c>
      <c r="U117" s="11"/>
      <c r="V117" s="28"/>
      <c r="W117" s="8"/>
      <c r="X117" s="8">
        <f>IFERROR(INDEX('02_Схемы оплаты'!$D$4:$D$19,MATCH($C117&amp;"|"&amp;$G117,'02_Схемы оплаты'!$H$4:$H$19,0)),0)</f>
        <v>0</v>
      </c>
      <c r="Y117" s="11"/>
      <c r="Z117" s="28"/>
      <c r="AA117" s="8"/>
      <c r="AB117" s="8">
        <f>IFERROR(INDEX('02_Схемы оплаты'!$E$4:$E$19,MATCH($C117&amp;"|"&amp;$G117,'02_Схемы оплаты'!$H$4:$H$19,0)),0)</f>
        <v>0</v>
      </c>
      <c r="AC117" s="11"/>
      <c r="AD117" s="28"/>
      <c r="AE117" s="8"/>
      <c r="AF117" s="10"/>
      <c r="AG117" s="10"/>
      <c r="AH117" s="25">
        <f>IFERROR(SUMIFS('04_Потребность'!$D$4:$D$103,'04_Потребность'!$A$4:$A$103,A117,'04_Потребность'!$C$4:$C$103,B117),0)</f>
        <v>0</v>
      </c>
      <c r="AI117" s="26" t="str">
        <f>IF(OR(A117="",B117=""),"",IFERROR(SUMIFS('04_Потребность'!$E$4:$E$103,'04_Потребность'!$A$4:$A$103,A117,'04_Потребность'!$C$4:$C$103,B117),0))</f>
        <v/>
      </c>
      <c r="AJ117" s="25" t="str">
        <f>IF(OR(A117="",B117=""),"",IFERROR(SUMIFS('04_Потребность'!$F$4:$F$103,'04_Потребность'!$A$4:$A$103,A117,'04_Потребность'!$C$4:$C$103,B117),0))</f>
        <v/>
      </c>
      <c r="AK117" s="29" t="str">
        <f>IF(OR(A117="",B117=""),"",IFERROR(SUMIFS('04_Потребность'!$G$4:$G$103,'04_Потребность'!$A$4:$A$103,A117,'04_Потребность'!$C$4:$C$103,B117),0))</f>
        <v/>
      </c>
      <c r="AL117" s="25" t="str">
        <f>IF('03_Настройки'!$B$7="Нет","Нет",IF(COUNTIFS('04_Потребность'!$A$4:$A$103,A117,'04_Потребность'!$C$4:$C$103,B117,'04_Потребность'!$H$4:$H$103,"Да")&gt;0,"Да","Нет"))</f>
        <v>Нет</v>
      </c>
      <c r="AM117" s="30">
        <f t="shared" si="60"/>
        <v>0</v>
      </c>
      <c r="AN117" s="30">
        <f t="shared" si="61"/>
        <v>0</v>
      </c>
      <c r="AO117" s="29">
        <f t="shared" si="62"/>
        <v>0</v>
      </c>
      <c r="AP117" s="29">
        <f t="shared" si="63"/>
        <v>0</v>
      </c>
      <c r="AQ117" s="29">
        <f t="shared" si="64"/>
        <v>0</v>
      </c>
      <c r="AR117" s="29">
        <f>IFERROR(E117*'03_Настройки'!$B$4/365*(IF(T117&gt;0,T117*V117*(1+W117)*MAX(0,N117-U117),0)+IF(X117&gt;0,X117*Z117*(1+AA117)*MAX(0,N117-Y117),0)+IF(AB117&gt;0,AB117*AD117*(1+AE117)*MAX(0,N117-AC117),0)),0)</f>
        <v>0</v>
      </c>
      <c r="AS117" s="29">
        <f t="shared" si="65"/>
        <v>0</v>
      </c>
      <c r="AT117" s="31">
        <f t="shared" si="66"/>
        <v>0</v>
      </c>
      <c r="AU117" s="31">
        <f t="shared" si="67"/>
        <v>0</v>
      </c>
      <c r="AV117" s="32">
        <f t="shared" si="68"/>
        <v>0</v>
      </c>
      <c r="AW117" s="29" t="e">
        <f t="shared" si="69"/>
        <v>#VALUE!</v>
      </c>
      <c r="AX117" s="29">
        <f t="shared" si="70"/>
        <v>0</v>
      </c>
      <c r="AY117" s="29" t="e">
        <f t="shared" si="71"/>
        <v>#VALUE!</v>
      </c>
      <c r="AZ117" s="25" t="str">
        <f>IF(AND(A117&lt;&gt;"",B117&lt;&gt;"",C117&lt;&gt;"",D117&gt;0,E117&gt;0,N117&lt;&gt;"",AH117&gt;0,O117="Да",P117="Да",BZ117="ПОЛНО",ABS(AN117-1)&lt;='03_Настройки'!$B$5,IF(T117&gt;0,AND(U117&lt;&gt;"",V117&gt;0),TRUE()),IF(X117&gt;0,AND(Y117&lt;&gt;"",Z117&gt;0),TRUE()),IF(AB117&gt;0,AND(AC117&lt;&gt;"",AD117&gt;0),TRUE()),OR(BM117="",BM117="Активна")),"Да","Нет")</f>
        <v>Нет</v>
      </c>
      <c r="BA117" s="25" t="str">
        <f t="shared" si="72"/>
        <v>Нет</v>
      </c>
      <c r="BB117" s="25" t="str">
        <f t="shared" si="73"/>
        <v/>
      </c>
      <c r="BC117" s="25" t="str">
        <f t="shared" si="74"/>
        <v/>
      </c>
      <c r="BD117" s="25" t="str">
        <f t="shared" si="75"/>
        <v/>
      </c>
      <c r="BE117" s="25" t="str">
        <f>IF(A117="","",IF(BZ117&lt;&gt;"ПОЛНО","BLOCK: неполная форма",IF(O117&lt;&gt;"Да","BLOCK: ввоз не разрешён",IF(P117&lt;&gt;"Да","BLOCK: документы не подтверждены",IF(ABS(AN117-1)&gt;'03_Настройки'!$B$5,"BLOCK: платежи не 100%",IF(AND(BM117&lt;&gt;"",BM117&lt;&gt;"Активна"),"BLOCK: позиция "&amp;BM117,IF(BA117&lt;&gt;"Да","PARTIAL: не покрывает потребность",IF(BB117="ДА","самый дешёвый"&amp;IF(BC117="ДА"," + быстрый","")&amp;IF(BD117="ДА"," + optimal",""),IF(BC117="ДА","самый быстрый"&amp;IF(BD117="ДА"," + optimal",""),IF(BD117="ДА","optimal","Допущен"))))))))))</f>
        <v/>
      </c>
      <c r="BF117" s="25">
        <f>ROW()</f>
        <v>117</v>
      </c>
      <c r="BG117" s="33"/>
      <c r="BH117" s="33"/>
      <c r="BI117" s="33"/>
      <c r="BJ117" s="33"/>
      <c r="BK117" s="33"/>
      <c r="BL117" s="34"/>
      <c r="BM117" s="33"/>
      <c r="BN117" s="35" t="str">
        <f t="shared" si="76"/>
        <v/>
      </c>
      <c r="BO117" s="36" t="str">
        <f t="shared" si="77"/>
        <v/>
      </c>
      <c r="BP117" s="33"/>
      <c r="BQ117" s="38"/>
      <c r="BR117" s="13"/>
      <c r="BS117" s="13"/>
      <c r="BT117" s="13"/>
      <c r="BU117" s="13"/>
      <c r="BV117" s="13"/>
      <c r="BW117" s="13"/>
      <c r="BX117" s="39" t="str">
        <f t="shared" si="78"/>
        <v/>
      </c>
      <c r="BY117" s="47"/>
      <c r="BZ117" s="48" t="str">
        <f t="shared" si="79"/>
        <v/>
      </c>
      <c r="CA117" s="47"/>
      <c r="CB117" s="47"/>
      <c r="CC117" s="47"/>
    </row>
    <row r="118" spans="1:81" ht="14.25" x14ac:dyDescent="0.45">
      <c r="A118" s="10"/>
      <c r="B118" s="10"/>
      <c r="C118" s="10"/>
      <c r="D118" s="10"/>
      <c r="E118" s="10"/>
      <c r="F118" s="10"/>
      <c r="G118" s="10"/>
      <c r="H118" s="25" t="str">
        <f>IFERROR(VLOOKUP(C118,'01_Поставщики'!$A$4:$M$11,2,FALSE()),"")</f>
        <v/>
      </c>
      <c r="I118" s="10"/>
      <c r="J118" s="25" t="str">
        <f>IFERROR(VLOOKUP(C118,'01_Поставщики'!$A$4:$M$11,8,FALSE()),"")</f>
        <v/>
      </c>
      <c r="K118" s="25" t="str">
        <f>IFERROR(VLOOKUP(C118,'01_Поставщики'!$A$4:$M$11,4,FALSE()),"")</f>
        <v/>
      </c>
      <c r="L118" s="25" t="str">
        <f>IFERROR(VLOOKUP(C118,'01_Поставщики'!$A$4:$M$11,10,FALSE()),"")</f>
        <v/>
      </c>
      <c r="M118" s="26" t="str">
        <f>IF(OR(A118="",B118=""),"",IFERROR(SUMIFS('04_Потребность'!$B$4:$B$103,'04_Потребность'!$A$4:$A$103,A118,'04_Потребность'!$C$4:$C$103,B118),0))</f>
        <v/>
      </c>
      <c r="N118" s="11"/>
      <c r="O118" s="10"/>
      <c r="P118" s="10"/>
      <c r="Q118" s="27"/>
      <c r="R118" s="27"/>
      <c r="S118" s="8"/>
      <c r="T118" s="8">
        <f>IFERROR(INDEX('02_Схемы оплаты'!$C$4:$C$19,MATCH($C118&amp;"|"&amp;$G118,'02_Схемы оплаты'!$H$4:$H$19,0)),0)</f>
        <v>0</v>
      </c>
      <c r="U118" s="11"/>
      <c r="V118" s="28"/>
      <c r="W118" s="8"/>
      <c r="X118" s="8">
        <f>IFERROR(INDEX('02_Схемы оплаты'!$D$4:$D$19,MATCH($C118&amp;"|"&amp;$G118,'02_Схемы оплаты'!$H$4:$H$19,0)),0)</f>
        <v>0</v>
      </c>
      <c r="Y118" s="11"/>
      <c r="Z118" s="28"/>
      <c r="AA118" s="8"/>
      <c r="AB118" s="8">
        <f>IFERROR(INDEX('02_Схемы оплаты'!$E$4:$E$19,MATCH($C118&amp;"|"&amp;$G118,'02_Схемы оплаты'!$H$4:$H$19,0)),0)</f>
        <v>0</v>
      </c>
      <c r="AC118" s="11"/>
      <c r="AD118" s="28"/>
      <c r="AE118" s="8"/>
      <c r="AF118" s="10"/>
      <c r="AG118" s="10"/>
      <c r="AH118" s="25">
        <f>IFERROR(SUMIFS('04_Потребность'!$D$4:$D$103,'04_Потребность'!$A$4:$A$103,A118,'04_Потребность'!$C$4:$C$103,B118),0)</f>
        <v>0</v>
      </c>
      <c r="AI118" s="26" t="str">
        <f>IF(OR(A118="",B118=""),"",IFERROR(SUMIFS('04_Потребность'!$E$4:$E$103,'04_Потребность'!$A$4:$A$103,A118,'04_Потребность'!$C$4:$C$103,B118),0))</f>
        <v/>
      </c>
      <c r="AJ118" s="25" t="str">
        <f>IF(OR(A118="",B118=""),"",IFERROR(SUMIFS('04_Потребность'!$F$4:$F$103,'04_Потребность'!$A$4:$A$103,A118,'04_Потребность'!$C$4:$C$103,B118),0))</f>
        <v/>
      </c>
      <c r="AK118" s="29" t="str">
        <f>IF(OR(A118="",B118=""),"",IFERROR(SUMIFS('04_Потребность'!$G$4:$G$103,'04_Потребность'!$A$4:$A$103,A118,'04_Потребность'!$C$4:$C$103,B118),0))</f>
        <v/>
      </c>
      <c r="AL118" s="25" t="str">
        <f>IF('03_Настройки'!$B$7="Нет","Нет",IF(COUNTIFS('04_Потребность'!$A$4:$A$103,A118,'04_Потребность'!$C$4:$C$103,B118,'04_Потребность'!$H$4:$H$103,"Да")&gt;0,"Да","Нет"))</f>
        <v>Нет</v>
      </c>
      <c r="AM118" s="30">
        <f t="shared" si="60"/>
        <v>0</v>
      </c>
      <c r="AN118" s="30">
        <f t="shared" si="61"/>
        <v>0</v>
      </c>
      <c r="AO118" s="29">
        <f t="shared" si="62"/>
        <v>0</v>
      </c>
      <c r="AP118" s="29">
        <f t="shared" si="63"/>
        <v>0</v>
      </c>
      <c r="AQ118" s="29">
        <f t="shared" si="64"/>
        <v>0</v>
      </c>
      <c r="AR118" s="29">
        <f>IFERROR(E118*'03_Настройки'!$B$4/365*(IF(T118&gt;0,T118*V118*(1+W118)*MAX(0,N118-U118),0)+IF(X118&gt;0,X118*Z118*(1+AA118)*MAX(0,N118-Y118),0)+IF(AB118&gt;0,AB118*AD118*(1+AE118)*MAX(0,N118-AC118),0)),0)</f>
        <v>0</v>
      </c>
      <c r="AS118" s="29">
        <f t="shared" si="65"/>
        <v>0</v>
      </c>
      <c r="AT118" s="31">
        <f t="shared" si="66"/>
        <v>0</v>
      </c>
      <c r="AU118" s="31">
        <f t="shared" si="67"/>
        <v>0</v>
      </c>
      <c r="AV118" s="32">
        <f t="shared" si="68"/>
        <v>0</v>
      </c>
      <c r="AW118" s="29" t="e">
        <f t="shared" si="69"/>
        <v>#VALUE!</v>
      </c>
      <c r="AX118" s="29">
        <f t="shared" si="70"/>
        <v>0</v>
      </c>
      <c r="AY118" s="29" t="e">
        <f t="shared" si="71"/>
        <v>#VALUE!</v>
      </c>
      <c r="AZ118" s="25" t="str">
        <f>IF(AND(A118&lt;&gt;"",B118&lt;&gt;"",C118&lt;&gt;"",D118&gt;0,E118&gt;0,N118&lt;&gt;"",AH118&gt;0,O118="Да",P118="Да",BZ118="ПОЛНО",ABS(AN118-1)&lt;='03_Настройки'!$B$5,IF(T118&gt;0,AND(U118&lt;&gt;"",V118&gt;0),TRUE()),IF(X118&gt;0,AND(Y118&lt;&gt;"",Z118&gt;0),TRUE()),IF(AB118&gt;0,AND(AC118&lt;&gt;"",AD118&gt;0),TRUE()),OR(BM118="",BM118="Активна")),"Да","Нет")</f>
        <v>Нет</v>
      </c>
      <c r="BA118" s="25" t="str">
        <f t="shared" si="72"/>
        <v>Нет</v>
      </c>
      <c r="BB118" s="25" t="str">
        <f t="shared" si="73"/>
        <v/>
      </c>
      <c r="BC118" s="25" t="str">
        <f t="shared" si="74"/>
        <v/>
      </c>
      <c r="BD118" s="25" t="str">
        <f t="shared" si="75"/>
        <v/>
      </c>
      <c r="BE118" s="25" t="str">
        <f>IF(A118="","",IF(BZ118&lt;&gt;"ПОЛНО","BLOCK: неполная форма",IF(O118&lt;&gt;"Да","BLOCK: ввоз не разрешён",IF(P118&lt;&gt;"Да","BLOCK: документы не подтверждены",IF(ABS(AN118-1)&gt;'03_Настройки'!$B$5,"BLOCK: платежи не 100%",IF(AND(BM118&lt;&gt;"",BM118&lt;&gt;"Активна"),"BLOCK: позиция "&amp;BM118,IF(BA118&lt;&gt;"Да","PARTIAL: не покрывает потребность",IF(BB118="ДА","самый дешёвый"&amp;IF(BC118="ДА"," + быстрый","")&amp;IF(BD118="ДА"," + optimal",""),IF(BC118="ДА","самый быстрый"&amp;IF(BD118="ДА"," + optimal",""),IF(BD118="ДА","optimal","Допущен"))))))))))</f>
        <v/>
      </c>
      <c r="BF118" s="25">
        <f>ROW()</f>
        <v>118</v>
      </c>
      <c r="BG118" s="33"/>
      <c r="BH118" s="33"/>
      <c r="BI118" s="33"/>
      <c r="BJ118" s="33"/>
      <c r="BK118" s="33"/>
      <c r="BL118" s="34"/>
      <c r="BM118" s="33"/>
      <c r="BN118" s="35" t="str">
        <f t="shared" si="76"/>
        <v/>
      </c>
      <c r="BO118" s="36" t="str">
        <f t="shared" si="77"/>
        <v/>
      </c>
      <c r="BP118" s="33"/>
      <c r="BQ118" s="38"/>
      <c r="BR118" s="13"/>
      <c r="BS118" s="13"/>
      <c r="BT118" s="13"/>
      <c r="BU118" s="13"/>
      <c r="BV118" s="13"/>
      <c r="BW118" s="13"/>
      <c r="BX118" s="39" t="str">
        <f t="shared" si="78"/>
        <v/>
      </c>
      <c r="BY118" s="47"/>
      <c r="BZ118" s="48" t="str">
        <f t="shared" si="79"/>
        <v/>
      </c>
      <c r="CA118" s="47"/>
      <c r="CB118" s="47"/>
      <c r="CC118" s="47"/>
    </row>
    <row r="119" spans="1:81" ht="14.25" x14ac:dyDescent="0.45">
      <c r="A119" s="10"/>
      <c r="B119" s="10"/>
      <c r="C119" s="10"/>
      <c r="D119" s="10"/>
      <c r="E119" s="10"/>
      <c r="F119" s="10"/>
      <c r="G119" s="10"/>
      <c r="H119" s="25" t="str">
        <f>IFERROR(VLOOKUP(C119,'01_Поставщики'!$A$4:$M$11,2,FALSE()),"")</f>
        <v/>
      </c>
      <c r="I119" s="10"/>
      <c r="J119" s="25" t="str">
        <f>IFERROR(VLOOKUP(C119,'01_Поставщики'!$A$4:$M$11,8,FALSE()),"")</f>
        <v/>
      </c>
      <c r="K119" s="25" t="str">
        <f>IFERROR(VLOOKUP(C119,'01_Поставщики'!$A$4:$M$11,4,FALSE()),"")</f>
        <v/>
      </c>
      <c r="L119" s="25" t="str">
        <f>IFERROR(VLOOKUP(C119,'01_Поставщики'!$A$4:$M$11,10,FALSE()),"")</f>
        <v/>
      </c>
      <c r="M119" s="26" t="str">
        <f>IF(OR(A119="",B119=""),"",IFERROR(SUMIFS('04_Потребность'!$B$4:$B$103,'04_Потребность'!$A$4:$A$103,A119,'04_Потребность'!$C$4:$C$103,B119),0))</f>
        <v/>
      </c>
      <c r="N119" s="11"/>
      <c r="O119" s="10"/>
      <c r="P119" s="10"/>
      <c r="Q119" s="27"/>
      <c r="R119" s="27"/>
      <c r="S119" s="8"/>
      <c r="T119" s="8">
        <f>IFERROR(INDEX('02_Схемы оплаты'!$C$4:$C$19,MATCH($C119&amp;"|"&amp;$G119,'02_Схемы оплаты'!$H$4:$H$19,0)),0)</f>
        <v>0</v>
      </c>
      <c r="U119" s="11"/>
      <c r="V119" s="28"/>
      <c r="W119" s="8"/>
      <c r="X119" s="8">
        <f>IFERROR(INDEX('02_Схемы оплаты'!$D$4:$D$19,MATCH($C119&amp;"|"&amp;$G119,'02_Схемы оплаты'!$H$4:$H$19,0)),0)</f>
        <v>0</v>
      </c>
      <c r="Y119" s="11"/>
      <c r="Z119" s="28"/>
      <c r="AA119" s="8"/>
      <c r="AB119" s="8">
        <f>IFERROR(INDEX('02_Схемы оплаты'!$E$4:$E$19,MATCH($C119&amp;"|"&amp;$G119,'02_Схемы оплаты'!$H$4:$H$19,0)),0)</f>
        <v>0</v>
      </c>
      <c r="AC119" s="11"/>
      <c r="AD119" s="28"/>
      <c r="AE119" s="8"/>
      <c r="AF119" s="10"/>
      <c r="AG119" s="10"/>
      <c r="AH119" s="25">
        <f>IFERROR(SUMIFS('04_Потребность'!$D$4:$D$103,'04_Потребность'!$A$4:$A$103,A119,'04_Потребность'!$C$4:$C$103,B119),0)</f>
        <v>0</v>
      </c>
      <c r="AI119" s="26" t="str">
        <f>IF(OR(A119="",B119=""),"",IFERROR(SUMIFS('04_Потребность'!$E$4:$E$103,'04_Потребность'!$A$4:$A$103,A119,'04_Потребность'!$C$4:$C$103,B119),0))</f>
        <v/>
      </c>
      <c r="AJ119" s="25" t="str">
        <f>IF(OR(A119="",B119=""),"",IFERROR(SUMIFS('04_Потребность'!$F$4:$F$103,'04_Потребность'!$A$4:$A$103,A119,'04_Потребность'!$C$4:$C$103,B119),0))</f>
        <v/>
      </c>
      <c r="AK119" s="29" t="str">
        <f>IF(OR(A119="",B119=""),"",IFERROR(SUMIFS('04_Потребность'!$G$4:$G$103,'04_Потребность'!$A$4:$A$103,A119,'04_Потребность'!$C$4:$C$103,B119),0))</f>
        <v/>
      </c>
      <c r="AL119" s="25" t="str">
        <f>IF('03_Настройки'!$B$7="Нет","Нет",IF(COUNTIFS('04_Потребность'!$A$4:$A$103,A119,'04_Потребность'!$C$4:$C$103,B119,'04_Потребность'!$H$4:$H$103,"Да")&gt;0,"Да","Нет"))</f>
        <v>Нет</v>
      </c>
      <c r="AM119" s="30">
        <f t="shared" si="60"/>
        <v>0</v>
      </c>
      <c r="AN119" s="30">
        <f t="shared" si="61"/>
        <v>0</v>
      </c>
      <c r="AO119" s="29">
        <f t="shared" si="62"/>
        <v>0</v>
      </c>
      <c r="AP119" s="29">
        <f t="shared" si="63"/>
        <v>0</v>
      </c>
      <c r="AQ119" s="29">
        <f t="shared" si="64"/>
        <v>0</v>
      </c>
      <c r="AR119" s="29">
        <f>IFERROR(E119*'03_Настройки'!$B$4/365*(IF(T119&gt;0,T119*V119*(1+W119)*MAX(0,N119-U119),0)+IF(X119&gt;0,X119*Z119*(1+AA119)*MAX(0,N119-Y119),0)+IF(AB119&gt;0,AB119*AD119*(1+AE119)*MAX(0,N119-AC119),0)),0)</f>
        <v>0</v>
      </c>
      <c r="AS119" s="29">
        <f t="shared" si="65"/>
        <v>0</v>
      </c>
      <c r="AT119" s="31">
        <f t="shared" si="66"/>
        <v>0</v>
      </c>
      <c r="AU119" s="31">
        <f t="shared" si="67"/>
        <v>0</v>
      </c>
      <c r="AV119" s="32">
        <f t="shared" si="68"/>
        <v>0</v>
      </c>
      <c r="AW119" s="29" t="e">
        <f t="shared" si="69"/>
        <v>#VALUE!</v>
      </c>
      <c r="AX119" s="29">
        <f t="shared" si="70"/>
        <v>0</v>
      </c>
      <c r="AY119" s="29" t="e">
        <f t="shared" si="71"/>
        <v>#VALUE!</v>
      </c>
      <c r="AZ119" s="25" t="str">
        <f>IF(AND(A119&lt;&gt;"",B119&lt;&gt;"",C119&lt;&gt;"",D119&gt;0,E119&gt;0,N119&lt;&gt;"",AH119&gt;0,O119="Да",P119="Да",BZ119="ПОЛНО",ABS(AN119-1)&lt;='03_Настройки'!$B$5,IF(T119&gt;0,AND(U119&lt;&gt;"",V119&gt;0),TRUE()),IF(X119&gt;0,AND(Y119&lt;&gt;"",Z119&gt;0),TRUE()),IF(AB119&gt;0,AND(AC119&lt;&gt;"",AD119&gt;0),TRUE()),OR(BM119="",BM119="Активна")),"Да","Нет")</f>
        <v>Нет</v>
      </c>
      <c r="BA119" s="25" t="str">
        <f t="shared" si="72"/>
        <v>Нет</v>
      </c>
      <c r="BB119" s="25" t="str">
        <f t="shared" si="73"/>
        <v/>
      </c>
      <c r="BC119" s="25" t="str">
        <f t="shared" si="74"/>
        <v/>
      </c>
      <c r="BD119" s="25" t="str">
        <f t="shared" si="75"/>
        <v/>
      </c>
      <c r="BE119" s="25" t="str">
        <f>IF(A119="","",IF(BZ119&lt;&gt;"ПОЛНО","BLOCK: неполная форма",IF(O119&lt;&gt;"Да","BLOCK: ввоз не разрешён",IF(P119&lt;&gt;"Да","BLOCK: документы не подтверждены",IF(ABS(AN119-1)&gt;'03_Настройки'!$B$5,"BLOCK: платежи не 100%",IF(AND(BM119&lt;&gt;"",BM119&lt;&gt;"Активна"),"BLOCK: позиция "&amp;BM119,IF(BA119&lt;&gt;"Да","PARTIAL: не покрывает потребность",IF(BB119="ДА","самый дешёвый"&amp;IF(BC119="ДА"," + быстрый","")&amp;IF(BD119="ДА"," + optimal",""),IF(BC119="ДА","самый быстрый"&amp;IF(BD119="ДА"," + optimal",""),IF(BD119="ДА","optimal","Допущен"))))))))))</f>
        <v/>
      </c>
      <c r="BF119" s="25">
        <f>ROW()</f>
        <v>119</v>
      </c>
      <c r="BG119" s="33"/>
      <c r="BH119" s="33"/>
      <c r="BI119" s="33"/>
      <c r="BJ119" s="33"/>
      <c r="BK119" s="33"/>
      <c r="BL119" s="34"/>
      <c r="BM119" s="33"/>
      <c r="BN119" s="35" t="str">
        <f t="shared" si="76"/>
        <v/>
      </c>
      <c r="BO119" s="36" t="str">
        <f t="shared" si="77"/>
        <v/>
      </c>
      <c r="BP119" s="33"/>
      <c r="BQ119" s="38"/>
      <c r="BR119" s="13"/>
      <c r="BS119" s="13"/>
      <c r="BT119" s="13"/>
      <c r="BU119" s="13"/>
      <c r="BV119" s="13"/>
      <c r="BW119" s="13"/>
      <c r="BX119" s="39" t="str">
        <f t="shared" si="78"/>
        <v/>
      </c>
      <c r="BY119" s="47"/>
      <c r="BZ119" s="48" t="str">
        <f t="shared" si="79"/>
        <v/>
      </c>
      <c r="CA119" s="47"/>
      <c r="CB119" s="47"/>
      <c r="CC119" s="47"/>
    </row>
    <row r="120" spans="1:81" ht="14.25" x14ac:dyDescent="0.45">
      <c r="A120" s="10"/>
      <c r="B120" s="10"/>
      <c r="C120" s="10"/>
      <c r="D120" s="10"/>
      <c r="E120" s="10"/>
      <c r="F120" s="10"/>
      <c r="G120" s="10"/>
      <c r="H120" s="25" t="str">
        <f>IFERROR(VLOOKUP(C120,'01_Поставщики'!$A$4:$M$11,2,FALSE()),"")</f>
        <v/>
      </c>
      <c r="I120" s="10"/>
      <c r="J120" s="25" t="str">
        <f>IFERROR(VLOOKUP(C120,'01_Поставщики'!$A$4:$M$11,8,FALSE()),"")</f>
        <v/>
      </c>
      <c r="K120" s="25" t="str">
        <f>IFERROR(VLOOKUP(C120,'01_Поставщики'!$A$4:$M$11,4,FALSE()),"")</f>
        <v/>
      </c>
      <c r="L120" s="25" t="str">
        <f>IFERROR(VLOOKUP(C120,'01_Поставщики'!$A$4:$M$11,10,FALSE()),"")</f>
        <v/>
      </c>
      <c r="M120" s="26" t="str">
        <f>IF(OR(A120="",B120=""),"",IFERROR(SUMIFS('04_Потребность'!$B$4:$B$103,'04_Потребность'!$A$4:$A$103,A120,'04_Потребность'!$C$4:$C$103,B120),0))</f>
        <v/>
      </c>
      <c r="N120" s="11"/>
      <c r="O120" s="10"/>
      <c r="P120" s="10"/>
      <c r="Q120" s="27"/>
      <c r="R120" s="27"/>
      <c r="S120" s="8"/>
      <c r="T120" s="8">
        <f>IFERROR(INDEX('02_Схемы оплаты'!$C$4:$C$19,MATCH($C120&amp;"|"&amp;$G120,'02_Схемы оплаты'!$H$4:$H$19,0)),0)</f>
        <v>0</v>
      </c>
      <c r="U120" s="11"/>
      <c r="V120" s="28"/>
      <c r="W120" s="8"/>
      <c r="X120" s="8">
        <f>IFERROR(INDEX('02_Схемы оплаты'!$D$4:$D$19,MATCH($C120&amp;"|"&amp;$G120,'02_Схемы оплаты'!$H$4:$H$19,0)),0)</f>
        <v>0</v>
      </c>
      <c r="Y120" s="11"/>
      <c r="Z120" s="28"/>
      <c r="AA120" s="8"/>
      <c r="AB120" s="8">
        <f>IFERROR(INDEX('02_Схемы оплаты'!$E$4:$E$19,MATCH($C120&amp;"|"&amp;$G120,'02_Схемы оплаты'!$H$4:$H$19,0)),0)</f>
        <v>0</v>
      </c>
      <c r="AC120" s="11"/>
      <c r="AD120" s="28"/>
      <c r="AE120" s="8"/>
      <c r="AF120" s="10"/>
      <c r="AG120" s="10"/>
      <c r="AH120" s="25">
        <f>IFERROR(SUMIFS('04_Потребность'!$D$4:$D$103,'04_Потребность'!$A$4:$A$103,A120,'04_Потребность'!$C$4:$C$103,B120),0)</f>
        <v>0</v>
      </c>
      <c r="AI120" s="26" t="str">
        <f>IF(OR(A120="",B120=""),"",IFERROR(SUMIFS('04_Потребность'!$E$4:$E$103,'04_Потребность'!$A$4:$A$103,A120,'04_Потребность'!$C$4:$C$103,B120),0))</f>
        <v/>
      </c>
      <c r="AJ120" s="25" t="str">
        <f>IF(OR(A120="",B120=""),"",IFERROR(SUMIFS('04_Потребность'!$F$4:$F$103,'04_Потребность'!$A$4:$A$103,A120,'04_Потребность'!$C$4:$C$103,B120),0))</f>
        <v/>
      </c>
      <c r="AK120" s="29" t="str">
        <f>IF(OR(A120="",B120=""),"",IFERROR(SUMIFS('04_Потребность'!$G$4:$G$103,'04_Потребность'!$A$4:$A$103,A120,'04_Потребность'!$C$4:$C$103,B120),0))</f>
        <v/>
      </c>
      <c r="AL120" s="25" t="str">
        <f>IF('03_Настройки'!$B$7="Нет","Нет",IF(COUNTIFS('04_Потребность'!$A$4:$A$103,A120,'04_Потребность'!$C$4:$C$103,B120,'04_Потребность'!$H$4:$H$103,"Да")&gt;0,"Да","Нет"))</f>
        <v>Нет</v>
      </c>
      <c r="AM120" s="30">
        <f t="shared" si="60"/>
        <v>0</v>
      </c>
      <c r="AN120" s="30">
        <f t="shared" si="61"/>
        <v>0</v>
      </c>
      <c r="AO120" s="29">
        <f t="shared" si="62"/>
        <v>0</v>
      </c>
      <c r="AP120" s="29">
        <f t="shared" si="63"/>
        <v>0</v>
      </c>
      <c r="AQ120" s="29">
        <f t="shared" si="64"/>
        <v>0</v>
      </c>
      <c r="AR120" s="29">
        <f>IFERROR(E120*'03_Настройки'!$B$4/365*(IF(T120&gt;0,T120*V120*(1+W120)*MAX(0,N120-U120),0)+IF(X120&gt;0,X120*Z120*(1+AA120)*MAX(0,N120-Y120),0)+IF(AB120&gt;0,AB120*AD120*(1+AE120)*MAX(0,N120-AC120),0)),0)</f>
        <v>0</v>
      </c>
      <c r="AS120" s="29">
        <f t="shared" si="65"/>
        <v>0</v>
      </c>
      <c r="AT120" s="31">
        <f t="shared" si="66"/>
        <v>0</v>
      </c>
      <c r="AU120" s="31">
        <f t="shared" si="67"/>
        <v>0</v>
      </c>
      <c r="AV120" s="32">
        <f t="shared" si="68"/>
        <v>0</v>
      </c>
      <c r="AW120" s="29" t="e">
        <f t="shared" si="69"/>
        <v>#VALUE!</v>
      </c>
      <c r="AX120" s="29">
        <f t="shared" si="70"/>
        <v>0</v>
      </c>
      <c r="AY120" s="29" t="e">
        <f t="shared" si="71"/>
        <v>#VALUE!</v>
      </c>
      <c r="AZ120" s="25" t="str">
        <f>IF(AND(A120&lt;&gt;"",B120&lt;&gt;"",C120&lt;&gt;"",D120&gt;0,E120&gt;0,N120&lt;&gt;"",AH120&gt;0,O120="Да",P120="Да",BZ120="ПОЛНО",ABS(AN120-1)&lt;='03_Настройки'!$B$5,IF(T120&gt;0,AND(U120&lt;&gt;"",V120&gt;0),TRUE()),IF(X120&gt;0,AND(Y120&lt;&gt;"",Z120&gt;0),TRUE()),IF(AB120&gt;0,AND(AC120&lt;&gt;"",AD120&gt;0),TRUE()),OR(BM120="",BM120="Активна")),"Да","Нет")</f>
        <v>Нет</v>
      </c>
      <c r="BA120" s="25" t="str">
        <f t="shared" si="72"/>
        <v>Нет</v>
      </c>
      <c r="BB120" s="25" t="str">
        <f t="shared" si="73"/>
        <v/>
      </c>
      <c r="BC120" s="25" t="str">
        <f t="shared" si="74"/>
        <v/>
      </c>
      <c r="BD120" s="25" t="str">
        <f t="shared" si="75"/>
        <v/>
      </c>
      <c r="BE120" s="25" t="str">
        <f>IF(A120="","",IF(BZ120&lt;&gt;"ПОЛНО","BLOCK: неполная форма",IF(O120&lt;&gt;"Да","BLOCK: ввоз не разрешён",IF(P120&lt;&gt;"Да","BLOCK: документы не подтверждены",IF(ABS(AN120-1)&gt;'03_Настройки'!$B$5,"BLOCK: платежи не 100%",IF(AND(BM120&lt;&gt;"",BM120&lt;&gt;"Активна"),"BLOCK: позиция "&amp;BM120,IF(BA120&lt;&gt;"Да","PARTIAL: не покрывает потребность",IF(BB120="ДА","самый дешёвый"&amp;IF(BC120="ДА"," + быстрый","")&amp;IF(BD120="ДА"," + optimal",""),IF(BC120="ДА","самый быстрый"&amp;IF(BD120="ДА"," + optimal",""),IF(BD120="ДА","optimal","Допущен"))))))))))</f>
        <v/>
      </c>
      <c r="BF120" s="25">
        <f>ROW()</f>
        <v>120</v>
      </c>
      <c r="BG120" s="33"/>
      <c r="BH120" s="33"/>
      <c r="BI120" s="33"/>
      <c r="BJ120" s="33"/>
      <c r="BK120" s="33"/>
      <c r="BL120" s="34"/>
      <c r="BM120" s="33"/>
      <c r="BN120" s="35" t="str">
        <f t="shared" si="76"/>
        <v/>
      </c>
      <c r="BO120" s="36" t="str">
        <f t="shared" si="77"/>
        <v/>
      </c>
      <c r="BP120" s="33"/>
      <c r="BQ120" s="38"/>
      <c r="BR120" s="13"/>
      <c r="BS120" s="13"/>
      <c r="BT120" s="13"/>
      <c r="BU120" s="13"/>
      <c r="BV120" s="13"/>
      <c r="BW120" s="13"/>
      <c r="BX120" s="39" t="str">
        <f t="shared" si="78"/>
        <v/>
      </c>
      <c r="BY120" s="47"/>
      <c r="BZ120" s="48" t="str">
        <f t="shared" si="79"/>
        <v/>
      </c>
      <c r="CA120" s="47"/>
      <c r="CB120" s="47"/>
      <c r="CC120" s="47"/>
    </row>
    <row r="121" spans="1:81" ht="14.25" x14ac:dyDescent="0.45">
      <c r="A121" s="10"/>
      <c r="B121" s="10"/>
      <c r="C121" s="10"/>
      <c r="D121" s="10"/>
      <c r="E121" s="10"/>
      <c r="F121" s="10"/>
      <c r="G121" s="10"/>
      <c r="H121" s="25" t="str">
        <f>IFERROR(VLOOKUP(C121,'01_Поставщики'!$A$4:$M$11,2,FALSE()),"")</f>
        <v/>
      </c>
      <c r="I121" s="10"/>
      <c r="J121" s="25" t="str">
        <f>IFERROR(VLOOKUP(C121,'01_Поставщики'!$A$4:$M$11,8,FALSE()),"")</f>
        <v/>
      </c>
      <c r="K121" s="25" t="str">
        <f>IFERROR(VLOOKUP(C121,'01_Поставщики'!$A$4:$M$11,4,FALSE()),"")</f>
        <v/>
      </c>
      <c r="L121" s="25" t="str">
        <f>IFERROR(VLOOKUP(C121,'01_Поставщики'!$A$4:$M$11,10,FALSE()),"")</f>
        <v/>
      </c>
      <c r="M121" s="26" t="str">
        <f>IF(OR(A121="",B121=""),"",IFERROR(SUMIFS('04_Потребность'!$B$4:$B$103,'04_Потребность'!$A$4:$A$103,A121,'04_Потребность'!$C$4:$C$103,B121),0))</f>
        <v/>
      </c>
      <c r="N121" s="11"/>
      <c r="O121" s="10"/>
      <c r="P121" s="10"/>
      <c r="Q121" s="27"/>
      <c r="R121" s="27"/>
      <c r="S121" s="8"/>
      <c r="T121" s="8">
        <f>IFERROR(INDEX('02_Схемы оплаты'!$C$4:$C$19,MATCH($C121&amp;"|"&amp;$G121,'02_Схемы оплаты'!$H$4:$H$19,0)),0)</f>
        <v>0</v>
      </c>
      <c r="U121" s="11"/>
      <c r="V121" s="28"/>
      <c r="W121" s="8"/>
      <c r="X121" s="8">
        <f>IFERROR(INDEX('02_Схемы оплаты'!$D$4:$D$19,MATCH($C121&amp;"|"&amp;$G121,'02_Схемы оплаты'!$H$4:$H$19,0)),0)</f>
        <v>0</v>
      </c>
      <c r="Y121" s="11"/>
      <c r="Z121" s="28"/>
      <c r="AA121" s="8"/>
      <c r="AB121" s="8">
        <f>IFERROR(INDEX('02_Схемы оплаты'!$E$4:$E$19,MATCH($C121&amp;"|"&amp;$G121,'02_Схемы оплаты'!$H$4:$H$19,0)),0)</f>
        <v>0</v>
      </c>
      <c r="AC121" s="11"/>
      <c r="AD121" s="28"/>
      <c r="AE121" s="8"/>
      <c r="AF121" s="10"/>
      <c r="AG121" s="10"/>
      <c r="AH121" s="25">
        <f>IFERROR(SUMIFS('04_Потребность'!$D$4:$D$103,'04_Потребность'!$A$4:$A$103,A121,'04_Потребность'!$C$4:$C$103,B121),0)</f>
        <v>0</v>
      </c>
      <c r="AI121" s="26" t="str">
        <f>IF(OR(A121="",B121=""),"",IFERROR(SUMIFS('04_Потребность'!$E$4:$E$103,'04_Потребность'!$A$4:$A$103,A121,'04_Потребность'!$C$4:$C$103,B121),0))</f>
        <v/>
      </c>
      <c r="AJ121" s="25" t="str">
        <f>IF(OR(A121="",B121=""),"",IFERROR(SUMIFS('04_Потребность'!$F$4:$F$103,'04_Потребность'!$A$4:$A$103,A121,'04_Потребность'!$C$4:$C$103,B121),0))</f>
        <v/>
      </c>
      <c r="AK121" s="29" t="str">
        <f>IF(OR(A121="",B121=""),"",IFERROR(SUMIFS('04_Потребность'!$G$4:$G$103,'04_Потребность'!$A$4:$A$103,A121,'04_Потребность'!$C$4:$C$103,B121),0))</f>
        <v/>
      </c>
      <c r="AL121" s="25" t="str">
        <f>IF('03_Настройки'!$B$7="Нет","Нет",IF(COUNTIFS('04_Потребность'!$A$4:$A$103,A121,'04_Потребность'!$C$4:$C$103,B121,'04_Потребность'!$H$4:$H$103,"Да")&gt;0,"Да","Нет"))</f>
        <v>Нет</v>
      </c>
      <c r="AM121" s="30">
        <f t="shared" si="60"/>
        <v>0</v>
      </c>
      <c r="AN121" s="30">
        <f t="shared" si="61"/>
        <v>0</v>
      </c>
      <c r="AO121" s="29">
        <f t="shared" si="62"/>
        <v>0</v>
      </c>
      <c r="AP121" s="29">
        <f t="shared" si="63"/>
        <v>0</v>
      </c>
      <c r="AQ121" s="29">
        <f t="shared" si="64"/>
        <v>0</v>
      </c>
      <c r="AR121" s="29">
        <f>IFERROR(E121*'03_Настройки'!$B$4/365*(IF(T121&gt;0,T121*V121*(1+W121)*MAX(0,N121-U121),0)+IF(X121&gt;0,X121*Z121*(1+AA121)*MAX(0,N121-Y121),0)+IF(AB121&gt;0,AB121*AD121*(1+AE121)*MAX(0,N121-AC121),0)),0)</f>
        <v>0</v>
      </c>
      <c r="AS121" s="29">
        <f t="shared" si="65"/>
        <v>0</v>
      </c>
      <c r="AT121" s="31">
        <f t="shared" si="66"/>
        <v>0</v>
      </c>
      <c r="AU121" s="31">
        <f t="shared" si="67"/>
        <v>0</v>
      </c>
      <c r="AV121" s="32">
        <f t="shared" si="68"/>
        <v>0</v>
      </c>
      <c r="AW121" s="29" t="e">
        <f t="shared" si="69"/>
        <v>#VALUE!</v>
      </c>
      <c r="AX121" s="29">
        <f t="shared" si="70"/>
        <v>0</v>
      </c>
      <c r="AY121" s="29" t="e">
        <f t="shared" si="71"/>
        <v>#VALUE!</v>
      </c>
      <c r="AZ121" s="25" t="str">
        <f>IF(AND(A121&lt;&gt;"",B121&lt;&gt;"",C121&lt;&gt;"",D121&gt;0,E121&gt;0,N121&lt;&gt;"",AH121&gt;0,O121="Да",P121="Да",BZ121="ПОЛНО",ABS(AN121-1)&lt;='03_Настройки'!$B$5,IF(T121&gt;0,AND(U121&lt;&gt;"",V121&gt;0),TRUE()),IF(X121&gt;0,AND(Y121&lt;&gt;"",Z121&gt;0),TRUE()),IF(AB121&gt;0,AND(AC121&lt;&gt;"",AD121&gt;0),TRUE()),OR(BM121="",BM121="Активна")),"Да","Нет")</f>
        <v>Нет</v>
      </c>
      <c r="BA121" s="25" t="str">
        <f t="shared" si="72"/>
        <v>Нет</v>
      </c>
      <c r="BB121" s="25" t="str">
        <f t="shared" si="73"/>
        <v/>
      </c>
      <c r="BC121" s="25" t="str">
        <f t="shared" si="74"/>
        <v/>
      </c>
      <c r="BD121" s="25" t="str">
        <f t="shared" si="75"/>
        <v/>
      </c>
      <c r="BE121" s="25" t="str">
        <f>IF(A121="","",IF(BZ121&lt;&gt;"ПОЛНО","BLOCK: неполная форма",IF(O121&lt;&gt;"Да","BLOCK: ввоз не разрешён",IF(P121&lt;&gt;"Да","BLOCK: документы не подтверждены",IF(ABS(AN121-1)&gt;'03_Настройки'!$B$5,"BLOCK: платежи не 100%",IF(AND(BM121&lt;&gt;"",BM121&lt;&gt;"Активна"),"BLOCK: позиция "&amp;BM121,IF(BA121&lt;&gt;"Да","PARTIAL: не покрывает потребность",IF(BB121="ДА","самый дешёвый"&amp;IF(BC121="ДА"," + быстрый","")&amp;IF(BD121="ДА"," + optimal",""),IF(BC121="ДА","самый быстрый"&amp;IF(BD121="ДА"," + optimal",""),IF(BD121="ДА","optimal","Допущен"))))))))))</f>
        <v/>
      </c>
      <c r="BF121" s="25">
        <f>ROW()</f>
        <v>121</v>
      </c>
      <c r="BG121" s="33"/>
      <c r="BH121" s="33"/>
      <c r="BI121" s="33"/>
      <c r="BJ121" s="33"/>
      <c r="BK121" s="33"/>
      <c r="BL121" s="34"/>
      <c r="BM121" s="33"/>
      <c r="BN121" s="35" t="str">
        <f t="shared" si="76"/>
        <v/>
      </c>
      <c r="BO121" s="36" t="str">
        <f t="shared" si="77"/>
        <v/>
      </c>
      <c r="BP121" s="33"/>
      <c r="BQ121" s="38"/>
      <c r="BR121" s="13"/>
      <c r="BS121" s="13"/>
      <c r="BT121" s="13"/>
      <c r="BU121" s="13"/>
      <c r="BV121" s="13"/>
      <c r="BW121" s="13"/>
      <c r="BX121" s="39" t="str">
        <f t="shared" si="78"/>
        <v/>
      </c>
      <c r="BY121" s="47"/>
      <c r="BZ121" s="48" t="str">
        <f t="shared" si="79"/>
        <v/>
      </c>
      <c r="CA121" s="47"/>
      <c r="CB121" s="47"/>
      <c r="CC121" s="47"/>
    </row>
    <row r="122" spans="1:81" ht="14.25" x14ac:dyDescent="0.45">
      <c r="A122" s="10"/>
      <c r="B122" s="10"/>
      <c r="C122" s="10"/>
      <c r="D122" s="10"/>
      <c r="E122" s="10"/>
      <c r="F122" s="10"/>
      <c r="G122" s="10"/>
      <c r="H122" s="25" t="str">
        <f>IFERROR(VLOOKUP(C122,'01_Поставщики'!$A$4:$M$11,2,FALSE()),"")</f>
        <v/>
      </c>
      <c r="I122" s="10"/>
      <c r="J122" s="25" t="str">
        <f>IFERROR(VLOOKUP(C122,'01_Поставщики'!$A$4:$M$11,8,FALSE()),"")</f>
        <v/>
      </c>
      <c r="K122" s="25" t="str">
        <f>IFERROR(VLOOKUP(C122,'01_Поставщики'!$A$4:$M$11,4,FALSE()),"")</f>
        <v/>
      </c>
      <c r="L122" s="25" t="str">
        <f>IFERROR(VLOOKUP(C122,'01_Поставщики'!$A$4:$M$11,10,FALSE()),"")</f>
        <v/>
      </c>
      <c r="M122" s="26" t="str">
        <f>IF(OR(A122="",B122=""),"",IFERROR(SUMIFS('04_Потребность'!$B$4:$B$103,'04_Потребность'!$A$4:$A$103,A122,'04_Потребность'!$C$4:$C$103,B122),0))</f>
        <v/>
      </c>
      <c r="N122" s="11"/>
      <c r="O122" s="10"/>
      <c r="P122" s="10"/>
      <c r="Q122" s="27"/>
      <c r="R122" s="27"/>
      <c r="S122" s="8"/>
      <c r="T122" s="8">
        <f>IFERROR(INDEX('02_Схемы оплаты'!$C$4:$C$19,MATCH($C122&amp;"|"&amp;$G122,'02_Схемы оплаты'!$H$4:$H$19,0)),0)</f>
        <v>0</v>
      </c>
      <c r="U122" s="11"/>
      <c r="V122" s="28"/>
      <c r="W122" s="8"/>
      <c r="X122" s="8">
        <f>IFERROR(INDEX('02_Схемы оплаты'!$D$4:$D$19,MATCH($C122&amp;"|"&amp;$G122,'02_Схемы оплаты'!$H$4:$H$19,0)),0)</f>
        <v>0</v>
      </c>
      <c r="Y122" s="11"/>
      <c r="Z122" s="28"/>
      <c r="AA122" s="8"/>
      <c r="AB122" s="8">
        <f>IFERROR(INDEX('02_Схемы оплаты'!$E$4:$E$19,MATCH($C122&amp;"|"&amp;$G122,'02_Схемы оплаты'!$H$4:$H$19,0)),0)</f>
        <v>0</v>
      </c>
      <c r="AC122" s="11"/>
      <c r="AD122" s="28"/>
      <c r="AE122" s="8"/>
      <c r="AF122" s="10"/>
      <c r="AG122" s="10"/>
      <c r="AH122" s="25">
        <f>IFERROR(SUMIFS('04_Потребность'!$D$4:$D$103,'04_Потребность'!$A$4:$A$103,A122,'04_Потребность'!$C$4:$C$103,B122),0)</f>
        <v>0</v>
      </c>
      <c r="AI122" s="26" t="str">
        <f>IF(OR(A122="",B122=""),"",IFERROR(SUMIFS('04_Потребность'!$E$4:$E$103,'04_Потребность'!$A$4:$A$103,A122,'04_Потребность'!$C$4:$C$103,B122),0))</f>
        <v/>
      </c>
      <c r="AJ122" s="25" t="str">
        <f>IF(OR(A122="",B122=""),"",IFERROR(SUMIFS('04_Потребность'!$F$4:$F$103,'04_Потребность'!$A$4:$A$103,A122,'04_Потребность'!$C$4:$C$103,B122),0))</f>
        <v/>
      </c>
      <c r="AK122" s="29" t="str">
        <f>IF(OR(A122="",B122=""),"",IFERROR(SUMIFS('04_Потребность'!$G$4:$G$103,'04_Потребность'!$A$4:$A$103,A122,'04_Потребность'!$C$4:$C$103,B122),0))</f>
        <v/>
      </c>
      <c r="AL122" s="25" t="str">
        <f>IF('03_Настройки'!$B$7="Нет","Нет",IF(COUNTIFS('04_Потребность'!$A$4:$A$103,A122,'04_Потребность'!$C$4:$C$103,B122,'04_Потребность'!$H$4:$H$103,"Да")&gt;0,"Да","Нет"))</f>
        <v>Нет</v>
      </c>
      <c r="AM122" s="30">
        <f t="shared" si="60"/>
        <v>0</v>
      </c>
      <c r="AN122" s="30">
        <f t="shared" si="61"/>
        <v>0</v>
      </c>
      <c r="AO122" s="29">
        <f t="shared" si="62"/>
        <v>0</v>
      </c>
      <c r="AP122" s="29">
        <f t="shared" si="63"/>
        <v>0</v>
      </c>
      <c r="AQ122" s="29">
        <f t="shared" si="64"/>
        <v>0</v>
      </c>
      <c r="AR122" s="29">
        <f>IFERROR(E122*'03_Настройки'!$B$4/365*(IF(T122&gt;0,T122*V122*(1+W122)*MAX(0,N122-U122),0)+IF(X122&gt;0,X122*Z122*(1+AA122)*MAX(0,N122-Y122),0)+IF(AB122&gt;0,AB122*AD122*(1+AE122)*MAX(0,N122-AC122),0)),0)</f>
        <v>0</v>
      </c>
      <c r="AS122" s="29">
        <f t="shared" si="65"/>
        <v>0</v>
      </c>
      <c r="AT122" s="31">
        <f t="shared" si="66"/>
        <v>0</v>
      </c>
      <c r="AU122" s="31">
        <f t="shared" si="67"/>
        <v>0</v>
      </c>
      <c r="AV122" s="32">
        <f t="shared" si="68"/>
        <v>0</v>
      </c>
      <c r="AW122" s="29" t="e">
        <f t="shared" si="69"/>
        <v>#VALUE!</v>
      </c>
      <c r="AX122" s="29">
        <f t="shared" si="70"/>
        <v>0</v>
      </c>
      <c r="AY122" s="29" t="e">
        <f t="shared" si="71"/>
        <v>#VALUE!</v>
      </c>
      <c r="AZ122" s="25" t="str">
        <f>IF(AND(A122&lt;&gt;"",B122&lt;&gt;"",C122&lt;&gt;"",D122&gt;0,E122&gt;0,N122&lt;&gt;"",AH122&gt;0,O122="Да",P122="Да",BZ122="ПОЛНО",ABS(AN122-1)&lt;='03_Настройки'!$B$5,IF(T122&gt;0,AND(U122&lt;&gt;"",V122&gt;0),TRUE()),IF(X122&gt;0,AND(Y122&lt;&gt;"",Z122&gt;0),TRUE()),IF(AB122&gt;0,AND(AC122&lt;&gt;"",AD122&gt;0),TRUE()),OR(BM122="",BM122="Активна")),"Да","Нет")</f>
        <v>Нет</v>
      </c>
      <c r="BA122" s="25" t="str">
        <f t="shared" si="72"/>
        <v>Нет</v>
      </c>
      <c r="BB122" s="25" t="str">
        <f t="shared" si="73"/>
        <v/>
      </c>
      <c r="BC122" s="25" t="str">
        <f t="shared" si="74"/>
        <v/>
      </c>
      <c r="BD122" s="25" t="str">
        <f t="shared" si="75"/>
        <v/>
      </c>
      <c r="BE122" s="25" t="str">
        <f>IF(A122="","",IF(BZ122&lt;&gt;"ПОЛНО","BLOCK: неполная форма",IF(O122&lt;&gt;"Да","BLOCK: ввоз не разрешён",IF(P122&lt;&gt;"Да","BLOCK: документы не подтверждены",IF(ABS(AN122-1)&gt;'03_Настройки'!$B$5,"BLOCK: платежи не 100%",IF(AND(BM122&lt;&gt;"",BM122&lt;&gt;"Активна"),"BLOCK: позиция "&amp;BM122,IF(BA122&lt;&gt;"Да","PARTIAL: не покрывает потребность",IF(BB122="ДА","самый дешёвый"&amp;IF(BC122="ДА"," + быстрый","")&amp;IF(BD122="ДА"," + optimal",""),IF(BC122="ДА","самый быстрый"&amp;IF(BD122="ДА"," + optimal",""),IF(BD122="ДА","optimal","Допущен"))))))))))</f>
        <v/>
      </c>
      <c r="BF122" s="25">
        <f>ROW()</f>
        <v>122</v>
      </c>
      <c r="BG122" s="33"/>
      <c r="BH122" s="33"/>
      <c r="BI122" s="33"/>
      <c r="BJ122" s="33"/>
      <c r="BK122" s="33"/>
      <c r="BL122" s="34"/>
      <c r="BM122" s="33"/>
      <c r="BN122" s="35" t="str">
        <f t="shared" si="76"/>
        <v/>
      </c>
      <c r="BO122" s="36" t="str">
        <f t="shared" si="77"/>
        <v/>
      </c>
      <c r="BP122" s="33"/>
      <c r="BQ122" s="38"/>
      <c r="BR122" s="13"/>
      <c r="BS122" s="13"/>
      <c r="BT122" s="13"/>
      <c r="BU122" s="13"/>
      <c r="BV122" s="13"/>
      <c r="BW122" s="13"/>
      <c r="BX122" s="39" t="str">
        <f t="shared" si="78"/>
        <v/>
      </c>
      <c r="BY122" s="47"/>
      <c r="BZ122" s="48" t="str">
        <f t="shared" si="79"/>
        <v/>
      </c>
      <c r="CA122" s="47"/>
      <c r="CB122" s="47"/>
      <c r="CC122" s="47"/>
    </row>
    <row r="123" spans="1:81" ht="14.25" x14ac:dyDescent="0.45">
      <c r="A123" s="10"/>
      <c r="B123" s="10"/>
      <c r="C123" s="10"/>
      <c r="D123" s="10"/>
      <c r="E123" s="10"/>
      <c r="F123" s="10"/>
      <c r="G123" s="10"/>
      <c r="H123" s="25" t="str">
        <f>IFERROR(VLOOKUP(C123,'01_Поставщики'!$A$4:$M$11,2,FALSE()),"")</f>
        <v/>
      </c>
      <c r="I123" s="10"/>
      <c r="J123" s="25" t="str">
        <f>IFERROR(VLOOKUP(C123,'01_Поставщики'!$A$4:$M$11,8,FALSE()),"")</f>
        <v/>
      </c>
      <c r="K123" s="25" t="str">
        <f>IFERROR(VLOOKUP(C123,'01_Поставщики'!$A$4:$M$11,4,FALSE()),"")</f>
        <v/>
      </c>
      <c r="L123" s="25" t="str">
        <f>IFERROR(VLOOKUP(C123,'01_Поставщики'!$A$4:$M$11,10,FALSE()),"")</f>
        <v/>
      </c>
      <c r="M123" s="26" t="str">
        <f>IF(OR(A123="",B123=""),"",IFERROR(SUMIFS('04_Потребность'!$B$4:$B$103,'04_Потребность'!$A$4:$A$103,A123,'04_Потребность'!$C$4:$C$103,B123),0))</f>
        <v/>
      </c>
      <c r="N123" s="11"/>
      <c r="O123" s="10"/>
      <c r="P123" s="10"/>
      <c r="Q123" s="27"/>
      <c r="R123" s="27"/>
      <c r="S123" s="8"/>
      <c r="T123" s="8">
        <f>IFERROR(INDEX('02_Схемы оплаты'!$C$4:$C$19,MATCH($C123&amp;"|"&amp;$G123,'02_Схемы оплаты'!$H$4:$H$19,0)),0)</f>
        <v>0</v>
      </c>
      <c r="U123" s="11"/>
      <c r="V123" s="28"/>
      <c r="W123" s="8"/>
      <c r="X123" s="8">
        <f>IFERROR(INDEX('02_Схемы оплаты'!$D$4:$D$19,MATCH($C123&amp;"|"&amp;$G123,'02_Схемы оплаты'!$H$4:$H$19,0)),0)</f>
        <v>0</v>
      </c>
      <c r="Y123" s="11"/>
      <c r="Z123" s="28"/>
      <c r="AA123" s="8"/>
      <c r="AB123" s="8">
        <f>IFERROR(INDEX('02_Схемы оплаты'!$E$4:$E$19,MATCH($C123&amp;"|"&amp;$G123,'02_Схемы оплаты'!$H$4:$H$19,0)),0)</f>
        <v>0</v>
      </c>
      <c r="AC123" s="11"/>
      <c r="AD123" s="28"/>
      <c r="AE123" s="8"/>
      <c r="AF123" s="10"/>
      <c r="AG123" s="10"/>
      <c r="AH123" s="25">
        <f>IFERROR(SUMIFS('04_Потребность'!$D$4:$D$103,'04_Потребность'!$A$4:$A$103,A123,'04_Потребность'!$C$4:$C$103,B123),0)</f>
        <v>0</v>
      </c>
      <c r="AI123" s="26" t="str">
        <f>IF(OR(A123="",B123=""),"",IFERROR(SUMIFS('04_Потребность'!$E$4:$E$103,'04_Потребность'!$A$4:$A$103,A123,'04_Потребность'!$C$4:$C$103,B123),0))</f>
        <v/>
      </c>
      <c r="AJ123" s="25" t="str">
        <f>IF(OR(A123="",B123=""),"",IFERROR(SUMIFS('04_Потребность'!$F$4:$F$103,'04_Потребность'!$A$4:$A$103,A123,'04_Потребность'!$C$4:$C$103,B123),0))</f>
        <v/>
      </c>
      <c r="AK123" s="29" t="str">
        <f>IF(OR(A123="",B123=""),"",IFERROR(SUMIFS('04_Потребность'!$G$4:$G$103,'04_Потребность'!$A$4:$A$103,A123,'04_Потребность'!$C$4:$C$103,B123),0))</f>
        <v/>
      </c>
      <c r="AL123" s="25" t="str">
        <f>IF('03_Настройки'!$B$7="Нет","Нет",IF(COUNTIFS('04_Потребность'!$A$4:$A$103,A123,'04_Потребность'!$C$4:$C$103,B123,'04_Потребность'!$H$4:$H$103,"Да")&gt;0,"Да","Нет"))</f>
        <v>Нет</v>
      </c>
      <c r="AM123" s="30">
        <f t="shared" si="60"/>
        <v>0</v>
      </c>
      <c r="AN123" s="30">
        <f t="shared" si="61"/>
        <v>0</v>
      </c>
      <c r="AO123" s="29">
        <f t="shared" si="62"/>
        <v>0</v>
      </c>
      <c r="AP123" s="29">
        <f t="shared" si="63"/>
        <v>0</v>
      </c>
      <c r="AQ123" s="29">
        <f t="shared" si="64"/>
        <v>0</v>
      </c>
      <c r="AR123" s="29">
        <f>IFERROR(E123*'03_Настройки'!$B$4/365*(IF(T123&gt;0,T123*V123*(1+W123)*MAX(0,N123-U123),0)+IF(X123&gt;0,X123*Z123*(1+AA123)*MAX(0,N123-Y123),0)+IF(AB123&gt;0,AB123*AD123*(1+AE123)*MAX(0,N123-AC123),0)),0)</f>
        <v>0</v>
      </c>
      <c r="AS123" s="29">
        <f t="shared" si="65"/>
        <v>0</v>
      </c>
      <c r="AT123" s="31">
        <f t="shared" si="66"/>
        <v>0</v>
      </c>
      <c r="AU123" s="31">
        <f t="shared" si="67"/>
        <v>0</v>
      </c>
      <c r="AV123" s="32">
        <f t="shared" si="68"/>
        <v>0</v>
      </c>
      <c r="AW123" s="29" t="e">
        <f t="shared" si="69"/>
        <v>#VALUE!</v>
      </c>
      <c r="AX123" s="29">
        <f t="shared" si="70"/>
        <v>0</v>
      </c>
      <c r="AY123" s="29" t="e">
        <f t="shared" si="71"/>
        <v>#VALUE!</v>
      </c>
      <c r="AZ123" s="25" t="str">
        <f>IF(AND(A123&lt;&gt;"",B123&lt;&gt;"",C123&lt;&gt;"",D123&gt;0,E123&gt;0,N123&lt;&gt;"",AH123&gt;0,O123="Да",P123="Да",BZ123="ПОЛНО",ABS(AN123-1)&lt;='03_Настройки'!$B$5,IF(T123&gt;0,AND(U123&lt;&gt;"",V123&gt;0),TRUE()),IF(X123&gt;0,AND(Y123&lt;&gt;"",Z123&gt;0),TRUE()),IF(AB123&gt;0,AND(AC123&lt;&gt;"",AD123&gt;0),TRUE()),OR(BM123="",BM123="Активна")),"Да","Нет")</f>
        <v>Нет</v>
      </c>
      <c r="BA123" s="25" t="str">
        <f t="shared" si="72"/>
        <v>Нет</v>
      </c>
      <c r="BB123" s="25" t="str">
        <f t="shared" si="73"/>
        <v/>
      </c>
      <c r="BC123" s="25" t="str">
        <f t="shared" si="74"/>
        <v/>
      </c>
      <c r="BD123" s="25" t="str">
        <f t="shared" si="75"/>
        <v/>
      </c>
      <c r="BE123" s="25" t="str">
        <f>IF(A123="","",IF(BZ123&lt;&gt;"ПОЛНО","BLOCK: неполная форма",IF(O123&lt;&gt;"Да","BLOCK: ввоз не разрешён",IF(P123&lt;&gt;"Да","BLOCK: документы не подтверждены",IF(ABS(AN123-1)&gt;'03_Настройки'!$B$5,"BLOCK: платежи не 100%",IF(AND(BM123&lt;&gt;"",BM123&lt;&gt;"Активна"),"BLOCK: позиция "&amp;BM123,IF(BA123&lt;&gt;"Да","PARTIAL: не покрывает потребность",IF(BB123="ДА","самый дешёвый"&amp;IF(BC123="ДА"," + быстрый","")&amp;IF(BD123="ДА"," + optimal",""),IF(BC123="ДА","самый быстрый"&amp;IF(BD123="ДА"," + optimal",""),IF(BD123="ДА","optimal","Допущен"))))))))))</f>
        <v/>
      </c>
      <c r="BF123" s="25">
        <f>ROW()</f>
        <v>123</v>
      </c>
      <c r="BG123" s="33"/>
      <c r="BH123" s="33"/>
      <c r="BI123" s="33"/>
      <c r="BJ123" s="33"/>
      <c r="BK123" s="33"/>
      <c r="BL123" s="34"/>
      <c r="BM123" s="33"/>
      <c r="BN123" s="35" t="str">
        <f t="shared" si="76"/>
        <v/>
      </c>
      <c r="BO123" s="36" t="str">
        <f t="shared" si="77"/>
        <v/>
      </c>
      <c r="BP123" s="33"/>
      <c r="BQ123" s="38"/>
      <c r="BR123" s="13"/>
      <c r="BS123" s="13"/>
      <c r="BT123" s="13"/>
      <c r="BU123" s="13"/>
      <c r="BV123" s="13"/>
      <c r="BW123" s="13"/>
      <c r="BX123" s="39" t="str">
        <f t="shared" si="78"/>
        <v/>
      </c>
      <c r="BY123" s="47"/>
      <c r="BZ123" s="48" t="str">
        <f t="shared" si="79"/>
        <v/>
      </c>
      <c r="CA123" s="47"/>
      <c r="CB123" s="47"/>
      <c r="CC123" s="47"/>
    </row>
    <row r="124" spans="1:81" ht="14.25" x14ac:dyDescent="0.45">
      <c r="A124" s="10"/>
      <c r="B124" s="10"/>
      <c r="C124" s="10"/>
      <c r="D124" s="10"/>
      <c r="E124" s="10"/>
      <c r="F124" s="10"/>
      <c r="G124" s="10"/>
      <c r="H124" s="25" t="str">
        <f>IFERROR(VLOOKUP(C124,'01_Поставщики'!$A$4:$M$11,2,FALSE()),"")</f>
        <v/>
      </c>
      <c r="I124" s="10"/>
      <c r="J124" s="25" t="str">
        <f>IFERROR(VLOOKUP(C124,'01_Поставщики'!$A$4:$M$11,8,FALSE()),"")</f>
        <v/>
      </c>
      <c r="K124" s="25" t="str">
        <f>IFERROR(VLOOKUP(C124,'01_Поставщики'!$A$4:$M$11,4,FALSE()),"")</f>
        <v/>
      </c>
      <c r="L124" s="25" t="str">
        <f>IFERROR(VLOOKUP(C124,'01_Поставщики'!$A$4:$M$11,10,FALSE()),"")</f>
        <v/>
      </c>
      <c r="M124" s="26" t="str">
        <f>IF(OR(A124="",B124=""),"",IFERROR(SUMIFS('04_Потребность'!$B$4:$B$103,'04_Потребность'!$A$4:$A$103,A124,'04_Потребность'!$C$4:$C$103,B124),0))</f>
        <v/>
      </c>
      <c r="N124" s="11"/>
      <c r="O124" s="10"/>
      <c r="P124" s="10"/>
      <c r="Q124" s="27"/>
      <c r="R124" s="27"/>
      <c r="S124" s="8"/>
      <c r="T124" s="8">
        <f>IFERROR(INDEX('02_Схемы оплаты'!$C$4:$C$19,MATCH($C124&amp;"|"&amp;$G124,'02_Схемы оплаты'!$H$4:$H$19,0)),0)</f>
        <v>0</v>
      </c>
      <c r="U124" s="11"/>
      <c r="V124" s="28"/>
      <c r="W124" s="8"/>
      <c r="X124" s="8">
        <f>IFERROR(INDEX('02_Схемы оплаты'!$D$4:$D$19,MATCH($C124&amp;"|"&amp;$G124,'02_Схемы оплаты'!$H$4:$H$19,0)),0)</f>
        <v>0</v>
      </c>
      <c r="Y124" s="11"/>
      <c r="Z124" s="28"/>
      <c r="AA124" s="8"/>
      <c r="AB124" s="8">
        <f>IFERROR(INDEX('02_Схемы оплаты'!$E$4:$E$19,MATCH($C124&amp;"|"&amp;$G124,'02_Схемы оплаты'!$H$4:$H$19,0)),0)</f>
        <v>0</v>
      </c>
      <c r="AC124" s="11"/>
      <c r="AD124" s="28"/>
      <c r="AE124" s="8"/>
      <c r="AF124" s="10"/>
      <c r="AG124" s="10"/>
      <c r="AH124" s="25">
        <f>IFERROR(SUMIFS('04_Потребность'!$D$4:$D$103,'04_Потребность'!$A$4:$A$103,A124,'04_Потребность'!$C$4:$C$103,B124),0)</f>
        <v>0</v>
      </c>
      <c r="AI124" s="26" t="str">
        <f>IF(OR(A124="",B124=""),"",IFERROR(SUMIFS('04_Потребность'!$E$4:$E$103,'04_Потребность'!$A$4:$A$103,A124,'04_Потребность'!$C$4:$C$103,B124),0))</f>
        <v/>
      </c>
      <c r="AJ124" s="25" t="str">
        <f>IF(OR(A124="",B124=""),"",IFERROR(SUMIFS('04_Потребность'!$F$4:$F$103,'04_Потребность'!$A$4:$A$103,A124,'04_Потребность'!$C$4:$C$103,B124),0))</f>
        <v/>
      </c>
      <c r="AK124" s="29" t="str">
        <f>IF(OR(A124="",B124=""),"",IFERROR(SUMIFS('04_Потребность'!$G$4:$G$103,'04_Потребность'!$A$4:$A$103,A124,'04_Потребность'!$C$4:$C$103,B124),0))</f>
        <v/>
      </c>
      <c r="AL124" s="25" t="str">
        <f>IF('03_Настройки'!$B$7="Нет","Нет",IF(COUNTIFS('04_Потребность'!$A$4:$A$103,A124,'04_Потребность'!$C$4:$C$103,B124,'04_Потребность'!$H$4:$H$103,"Да")&gt;0,"Да","Нет"))</f>
        <v>Нет</v>
      </c>
      <c r="AM124" s="30">
        <f t="shared" si="60"/>
        <v>0</v>
      </c>
      <c r="AN124" s="30">
        <f t="shared" si="61"/>
        <v>0</v>
      </c>
      <c r="AO124" s="29">
        <f t="shared" si="62"/>
        <v>0</v>
      </c>
      <c r="AP124" s="29">
        <f t="shared" si="63"/>
        <v>0</v>
      </c>
      <c r="AQ124" s="29">
        <f t="shared" si="64"/>
        <v>0</v>
      </c>
      <c r="AR124" s="29">
        <f>IFERROR(E124*'03_Настройки'!$B$4/365*(IF(T124&gt;0,T124*V124*(1+W124)*MAX(0,N124-U124),0)+IF(X124&gt;0,X124*Z124*(1+AA124)*MAX(0,N124-Y124),0)+IF(AB124&gt;0,AB124*AD124*(1+AE124)*MAX(0,N124-AC124),0)),0)</f>
        <v>0</v>
      </c>
      <c r="AS124" s="29">
        <f t="shared" si="65"/>
        <v>0</v>
      </c>
      <c r="AT124" s="31">
        <f t="shared" si="66"/>
        <v>0</v>
      </c>
      <c r="AU124" s="31">
        <f t="shared" si="67"/>
        <v>0</v>
      </c>
      <c r="AV124" s="32">
        <f t="shared" si="68"/>
        <v>0</v>
      </c>
      <c r="AW124" s="29" t="e">
        <f t="shared" si="69"/>
        <v>#VALUE!</v>
      </c>
      <c r="AX124" s="29">
        <f t="shared" si="70"/>
        <v>0</v>
      </c>
      <c r="AY124" s="29" t="e">
        <f t="shared" si="71"/>
        <v>#VALUE!</v>
      </c>
      <c r="AZ124" s="25" t="str">
        <f>IF(AND(A124&lt;&gt;"",B124&lt;&gt;"",C124&lt;&gt;"",D124&gt;0,E124&gt;0,N124&lt;&gt;"",AH124&gt;0,O124="Да",P124="Да",BZ124="ПОЛНО",ABS(AN124-1)&lt;='03_Настройки'!$B$5,IF(T124&gt;0,AND(U124&lt;&gt;"",V124&gt;0),TRUE()),IF(X124&gt;0,AND(Y124&lt;&gt;"",Z124&gt;0),TRUE()),IF(AB124&gt;0,AND(AC124&lt;&gt;"",AD124&gt;0),TRUE()),OR(BM124="",BM124="Активна")),"Да","Нет")</f>
        <v>Нет</v>
      </c>
      <c r="BA124" s="25" t="str">
        <f t="shared" si="72"/>
        <v>Нет</v>
      </c>
      <c r="BB124" s="25" t="str">
        <f t="shared" si="73"/>
        <v/>
      </c>
      <c r="BC124" s="25" t="str">
        <f t="shared" si="74"/>
        <v/>
      </c>
      <c r="BD124" s="25" t="str">
        <f t="shared" si="75"/>
        <v/>
      </c>
      <c r="BE124" s="25" t="str">
        <f>IF(A124="","",IF(BZ124&lt;&gt;"ПОЛНО","BLOCK: неполная форма",IF(O124&lt;&gt;"Да","BLOCK: ввоз не разрешён",IF(P124&lt;&gt;"Да","BLOCK: документы не подтверждены",IF(ABS(AN124-1)&gt;'03_Настройки'!$B$5,"BLOCK: платежи не 100%",IF(AND(BM124&lt;&gt;"",BM124&lt;&gt;"Активна"),"BLOCK: позиция "&amp;BM124,IF(BA124&lt;&gt;"Да","PARTIAL: не покрывает потребность",IF(BB124="ДА","самый дешёвый"&amp;IF(BC124="ДА"," + быстрый","")&amp;IF(BD124="ДА"," + optimal",""),IF(BC124="ДА","самый быстрый"&amp;IF(BD124="ДА"," + optimal",""),IF(BD124="ДА","optimal","Допущен"))))))))))</f>
        <v/>
      </c>
      <c r="BF124" s="25">
        <f>ROW()</f>
        <v>124</v>
      </c>
      <c r="BG124" s="33"/>
      <c r="BH124" s="33"/>
      <c r="BI124" s="33"/>
      <c r="BJ124" s="33"/>
      <c r="BK124" s="33"/>
      <c r="BL124" s="34"/>
      <c r="BM124" s="33"/>
      <c r="BN124" s="35" t="str">
        <f t="shared" si="76"/>
        <v/>
      </c>
      <c r="BO124" s="36" t="str">
        <f t="shared" si="77"/>
        <v/>
      </c>
      <c r="BP124" s="33"/>
      <c r="BQ124" s="38"/>
      <c r="BR124" s="13"/>
      <c r="BS124" s="13"/>
      <c r="BT124" s="13"/>
      <c r="BU124" s="13"/>
      <c r="BV124" s="13"/>
      <c r="BW124" s="13"/>
      <c r="BX124" s="39" t="str">
        <f t="shared" si="78"/>
        <v/>
      </c>
      <c r="BY124" s="47"/>
      <c r="BZ124" s="48" t="str">
        <f t="shared" si="79"/>
        <v/>
      </c>
      <c r="CA124" s="47"/>
      <c r="CB124" s="47"/>
      <c r="CC124" s="47"/>
    </row>
    <row r="125" spans="1:81" ht="14.25" x14ac:dyDescent="0.45">
      <c r="A125" s="10"/>
      <c r="B125" s="10"/>
      <c r="C125" s="10"/>
      <c r="D125" s="10"/>
      <c r="E125" s="10"/>
      <c r="F125" s="10"/>
      <c r="G125" s="10"/>
      <c r="H125" s="25" t="str">
        <f>IFERROR(VLOOKUP(C125,'01_Поставщики'!$A$4:$M$11,2,FALSE()),"")</f>
        <v/>
      </c>
      <c r="I125" s="10"/>
      <c r="J125" s="25" t="str">
        <f>IFERROR(VLOOKUP(C125,'01_Поставщики'!$A$4:$M$11,8,FALSE()),"")</f>
        <v/>
      </c>
      <c r="K125" s="25" t="str">
        <f>IFERROR(VLOOKUP(C125,'01_Поставщики'!$A$4:$M$11,4,FALSE()),"")</f>
        <v/>
      </c>
      <c r="L125" s="25" t="str">
        <f>IFERROR(VLOOKUP(C125,'01_Поставщики'!$A$4:$M$11,10,FALSE()),"")</f>
        <v/>
      </c>
      <c r="M125" s="26" t="str">
        <f>IF(OR(A125="",B125=""),"",IFERROR(SUMIFS('04_Потребность'!$B$4:$B$103,'04_Потребность'!$A$4:$A$103,A125,'04_Потребность'!$C$4:$C$103,B125),0))</f>
        <v/>
      </c>
      <c r="N125" s="11"/>
      <c r="O125" s="10"/>
      <c r="P125" s="10"/>
      <c r="Q125" s="27"/>
      <c r="R125" s="27"/>
      <c r="S125" s="8"/>
      <c r="T125" s="8">
        <f>IFERROR(INDEX('02_Схемы оплаты'!$C$4:$C$19,MATCH($C125&amp;"|"&amp;$G125,'02_Схемы оплаты'!$H$4:$H$19,0)),0)</f>
        <v>0</v>
      </c>
      <c r="U125" s="11"/>
      <c r="V125" s="28"/>
      <c r="W125" s="8"/>
      <c r="X125" s="8">
        <f>IFERROR(INDEX('02_Схемы оплаты'!$D$4:$D$19,MATCH($C125&amp;"|"&amp;$G125,'02_Схемы оплаты'!$H$4:$H$19,0)),0)</f>
        <v>0</v>
      </c>
      <c r="Y125" s="11"/>
      <c r="Z125" s="28"/>
      <c r="AA125" s="8"/>
      <c r="AB125" s="8">
        <f>IFERROR(INDEX('02_Схемы оплаты'!$E$4:$E$19,MATCH($C125&amp;"|"&amp;$G125,'02_Схемы оплаты'!$H$4:$H$19,0)),0)</f>
        <v>0</v>
      </c>
      <c r="AC125" s="11"/>
      <c r="AD125" s="28"/>
      <c r="AE125" s="8"/>
      <c r="AF125" s="10"/>
      <c r="AG125" s="10"/>
      <c r="AH125" s="25">
        <f>IFERROR(SUMIFS('04_Потребность'!$D$4:$D$103,'04_Потребность'!$A$4:$A$103,A125,'04_Потребность'!$C$4:$C$103,B125),0)</f>
        <v>0</v>
      </c>
      <c r="AI125" s="26" t="str">
        <f>IF(OR(A125="",B125=""),"",IFERROR(SUMIFS('04_Потребность'!$E$4:$E$103,'04_Потребность'!$A$4:$A$103,A125,'04_Потребность'!$C$4:$C$103,B125),0))</f>
        <v/>
      </c>
      <c r="AJ125" s="25" t="str">
        <f>IF(OR(A125="",B125=""),"",IFERROR(SUMIFS('04_Потребность'!$F$4:$F$103,'04_Потребность'!$A$4:$A$103,A125,'04_Потребность'!$C$4:$C$103,B125),0))</f>
        <v/>
      </c>
      <c r="AK125" s="29" t="str">
        <f>IF(OR(A125="",B125=""),"",IFERROR(SUMIFS('04_Потребность'!$G$4:$G$103,'04_Потребность'!$A$4:$A$103,A125,'04_Потребность'!$C$4:$C$103,B125),0))</f>
        <v/>
      </c>
      <c r="AL125" s="25" t="str">
        <f>IF('03_Настройки'!$B$7="Нет","Нет",IF(COUNTIFS('04_Потребность'!$A$4:$A$103,A125,'04_Потребность'!$C$4:$C$103,B125,'04_Потребность'!$H$4:$H$103,"Да")&gt;0,"Да","Нет"))</f>
        <v>Нет</v>
      </c>
      <c r="AM125" s="30">
        <f t="shared" si="60"/>
        <v>0</v>
      </c>
      <c r="AN125" s="30">
        <f t="shared" si="61"/>
        <v>0</v>
      </c>
      <c r="AO125" s="29">
        <f t="shared" si="62"/>
        <v>0</v>
      </c>
      <c r="AP125" s="29">
        <f t="shared" si="63"/>
        <v>0</v>
      </c>
      <c r="AQ125" s="29">
        <f t="shared" si="64"/>
        <v>0</v>
      </c>
      <c r="AR125" s="29">
        <f>IFERROR(E125*'03_Настройки'!$B$4/365*(IF(T125&gt;0,T125*V125*(1+W125)*MAX(0,N125-U125),0)+IF(X125&gt;0,X125*Z125*(1+AA125)*MAX(0,N125-Y125),0)+IF(AB125&gt;0,AB125*AD125*(1+AE125)*MAX(0,N125-AC125),0)),0)</f>
        <v>0</v>
      </c>
      <c r="AS125" s="29">
        <f t="shared" si="65"/>
        <v>0</v>
      </c>
      <c r="AT125" s="31">
        <f t="shared" si="66"/>
        <v>0</v>
      </c>
      <c r="AU125" s="31">
        <f t="shared" si="67"/>
        <v>0</v>
      </c>
      <c r="AV125" s="32">
        <f t="shared" si="68"/>
        <v>0</v>
      </c>
      <c r="AW125" s="29" t="e">
        <f t="shared" si="69"/>
        <v>#VALUE!</v>
      </c>
      <c r="AX125" s="29">
        <f t="shared" si="70"/>
        <v>0</v>
      </c>
      <c r="AY125" s="29" t="e">
        <f t="shared" si="71"/>
        <v>#VALUE!</v>
      </c>
      <c r="AZ125" s="25" t="str">
        <f>IF(AND(A125&lt;&gt;"",B125&lt;&gt;"",C125&lt;&gt;"",D125&gt;0,E125&gt;0,N125&lt;&gt;"",AH125&gt;0,O125="Да",P125="Да",BZ125="ПОЛНО",ABS(AN125-1)&lt;='03_Настройки'!$B$5,IF(T125&gt;0,AND(U125&lt;&gt;"",V125&gt;0),TRUE()),IF(X125&gt;0,AND(Y125&lt;&gt;"",Z125&gt;0),TRUE()),IF(AB125&gt;0,AND(AC125&lt;&gt;"",AD125&gt;0),TRUE()),OR(BM125="",BM125="Активна")),"Да","Нет")</f>
        <v>Нет</v>
      </c>
      <c r="BA125" s="25" t="str">
        <f t="shared" si="72"/>
        <v>Нет</v>
      </c>
      <c r="BB125" s="25" t="str">
        <f t="shared" si="73"/>
        <v/>
      </c>
      <c r="BC125" s="25" t="str">
        <f t="shared" si="74"/>
        <v/>
      </c>
      <c r="BD125" s="25" t="str">
        <f t="shared" si="75"/>
        <v/>
      </c>
      <c r="BE125" s="25" t="str">
        <f>IF(A125="","",IF(BZ125&lt;&gt;"ПОЛНО","BLOCK: неполная форма",IF(O125&lt;&gt;"Да","BLOCK: ввоз не разрешён",IF(P125&lt;&gt;"Да","BLOCK: документы не подтверждены",IF(ABS(AN125-1)&gt;'03_Настройки'!$B$5,"BLOCK: платежи не 100%",IF(AND(BM125&lt;&gt;"",BM125&lt;&gt;"Активна"),"BLOCK: позиция "&amp;BM125,IF(BA125&lt;&gt;"Да","PARTIAL: не покрывает потребность",IF(BB125="ДА","самый дешёвый"&amp;IF(BC125="ДА"," + быстрый","")&amp;IF(BD125="ДА"," + optimal",""),IF(BC125="ДА","самый быстрый"&amp;IF(BD125="ДА"," + optimal",""),IF(BD125="ДА","optimal","Допущен"))))))))))</f>
        <v/>
      </c>
      <c r="BF125" s="25">
        <f>ROW()</f>
        <v>125</v>
      </c>
      <c r="BG125" s="33"/>
      <c r="BH125" s="33"/>
      <c r="BI125" s="33"/>
      <c r="BJ125" s="33"/>
      <c r="BK125" s="33"/>
      <c r="BL125" s="34"/>
      <c r="BM125" s="33"/>
      <c r="BN125" s="35" t="str">
        <f t="shared" si="76"/>
        <v/>
      </c>
      <c r="BO125" s="36" t="str">
        <f t="shared" si="77"/>
        <v/>
      </c>
      <c r="BP125" s="33"/>
      <c r="BQ125" s="38"/>
      <c r="BR125" s="13"/>
      <c r="BS125" s="13"/>
      <c r="BT125" s="13"/>
      <c r="BU125" s="13"/>
      <c r="BV125" s="13"/>
      <c r="BW125" s="13"/>
      <c r="BX125" s="39" t="str">
        <f t="shared" si="78"/>
        <v/>
      </c>
      <c r="BY125" s="47"/>
      <c r="BZ125" s="48" t="str">
        <f t="shared" si="79"/>
        <v/>
      </c>
      <c r="CA125" s="47"/>
      <c r="CB125" s="47"/>
      <c r="CC125" s="47"/>
    </row>
    <row r="126" spans="1:81" ht="14.25" x14ac:dyDescent="0.45">
      <c r="A126" s="10"/>
      <c r="B126" s="10"/>
      <c r="C126" s="10"/>
      <c r="D126" s="10"/>
      <c r="E126" s="10"/>
      <c r="F126" s="10"/>
      <c r="G126" s="10"/>
      <c r="H126" s="25" t="str">
        <f>IFERROR(VLOOKUP(C126,'01_Поставщики'!$A$4:$M$11,2,FALSE()),"")</f>
        <v/>
      </c>
      <c r="I126" s="10"/>
      <c r="J126" s="25" t="str">
        <f>IFERROR(VLOOKUP(C126,'01_Поставщики'!$A$4:$M$11,8,FALSE()),"")</f>
        <v/>
      </c>
      <c r="K126" s="25" t="str">
        <f>IFERROR(VLOOKUP(C126,'01_Поставщики'!$A$4:$M$11,4,FALSE()),"")</f>
        <v/>
      </c>
      <c r="L126" s="25" t="str">
        <f>IFERROR(VLOOKUP(C126,'01_Поставщики'!$A$4:$M$11,10,FALSE()),"")</f>
        <v/>
      </c>
      <c r="M126" s="26" t="str">
        <f>IF(OR(A126="",B126=""),"",IFERROR(SUMIFS('04_Потребность'!$B$4:$B$103,'04_Потребность'!$A$4:$A$103,A126,'04_Потребность'!$C$4:$C$103,B126),0))</f>
        <v/>
      </c>
      <c r="N126" s="11"/>
      <c r="O126" s="10"/>
      <c r="P126" s="10"/>
      <c r="Q126" s="27"/>
      <c r="R126" s="27"/>
      <c r="S126" s="8"/>
      <c r="T126" s="8">
        <f>IFERROR(INDEX('02_Схемы оплаты'!$C$4:$C$19,MATCH($C126&amp;"|"&amp;$G126,'02_Схемы оплаты'!$H$4:$H$19,0)),0)</f>
        <v>0</v>
      </c>
      <c r="U126" s="11"/>
      <c r="V126" s="28"/>
      <c r="W126" s="8"/>
      <c r="X126" s="8">
        <f>IFERROR(INDEX('02_Схемы оплаты'!$D$4:$D$19,MATCH($C126&amp;"|"&amp;$G126,'02_Схемы оплаты'!$H$4:$H$19,0)),0)</f>
        <v>0</v>
      </c>
      <c r="Y126" s="11"/>
      <c r="Z126" s="28"/>
      <c r="AA126" s="8"/>
      <c r="AB126" s="8">
        <f>IFERROR(INDEX('02_Схемы оплаты'!$E$4:$E$19,MATCH($C126&amp;"|"&amp;$G126,'02_Схемы оплаты'!$H$4:$H$19,0)),0)</f>
        <v>0</v>
      </c>
      <c r="AC126" s="11"/>
      <c r="AD126" s="28"/>
      <c r="AE126" s="8"/>
      <c r="AF126" s="10"/>
      <c r="AG126" s="10"/>
      <c r="AH126" s="25">
        <f>IFERROR(SUMIFS('04_Потребность'!$D$4:$D$103,'04_Потребность'!$A$4:$A$103,A126,'04_Потребность'!$C$4:$C$103,B126),0)</f>
        <v>0</v>
      </c>
      <c r="AI126" s="26" t="str">
        <f>IF(OR(A126="",B126=""),"",IFERROR(SUMIFS('04_Потребность'!$E$4:$E$103,'04_Потребность'!$A$4:$A$103,A126,'04_Потребность'!$C$4:$C$103,B126),0))</f>
        <v/>
      </c>
      <c r="AJ126" s="25" t="str">
        <f>IF(OR(A126="",B126=""),"",IFERROR(SUMIFS('04_Потребность'!$F$4:$F$103,'04_Потребность'!$A$4:$A$103,A126,'04_Потребность'!$C$4:$C$103,B126),0))</f>
        <v/>
      </c>
      <c r="AK126" s="29" t="str">
        <f>IF(OR(A126="",B126=""),"",IFERROR(SUMIFS('04_Потребность'!$G$4:$G$103,'04_Потребность'!$A$4:$A$103,A126,'04_Потребность'!$C$4:$C$103,B126),0))</f>
        <v/>
      </c>
      <c r="AL126" s="25" t="str">
        <f>IF('03_Настройки'!$B$7="Нет","Нет",IF(COUNTIFS('04_Потребность'!$A$4:$A$103,A126,'04_Потребность'!$C$4:$C$103,B126,'04_Потребность'!$H$4:$H$103,"Да")&gt;0,"Да","Нет"))</f>
        <v>Нет</v>
      </c>
      <c r="AM126" s="30">
        <f t="shared" si="60"/>
        <v>0</v>
      </c>
      <c r="AN126" s="30">
        <f t="shared" si="61"/>
        <v>0</v>
      </c>
      <c r="AO126" s="29">
        <f t="shared" si="62"/>
        <v>0</v>
      </c>
      <c r="AP126" s="29">
        <f t="shared" si="63"/>
        <v>0</v>
      </c>
      <c r="AQ126" s="29">
        <f t="shared" si="64"/>
        <v>0</v>
      </c>
      <c r="AR126" s="29">
        <f>IFERROR(E126*'03_Настройки'!$B$4/365*(IF(T126&gt;0,T126*V126*(1+W126)*MAX(0,N126-U126),0)+IF(X126&gt;0,X126*Z126*(1+AA126)*MAX(0,N126-Y126),0)+IF(AB126&gt;0,AB126*AD126*(1+AE126)*MAX(0,N126-AC126),0)),0)</f>
        <v>0</v>
      </c>
      <c r="AS126" s="29">
        <f t="shared" si="65"/>
        <v>0</v>
      </c>
      <c r="AT126" s="31">
        <f t="shared" si="66"/>
        <v>0</v>
      </c>
      <c r="AU126" s="31">
        <f t="shared" si="67"/>
        <v>0</v>
      </c>
      <c r="AV126" s="32">
        <f t="shared" si="68"/>
        <v>0</v>
      </c>
      <c r="AW126" s="29" t="e">
        <f t="shared" si="69"/>
        <v>#VALUE!</v>
      </c>
      <c r="AX126" s="29">
        <f t="shared" si="70"/>
        <v>0</v>
      </c>
      <c r="AY126" s="29" t="e">
        <f t="shared" si="71"/>
        <v>#VALUE!</v>
      </c>
      <c r="AZ126" s="25" t="str">
        <f>IF(AND(A126&lt;&gt;"",B126&lt;&gt;"",C126&lt;&gt;"",D126&gt;0,E126&gt;0,N126&lt;&gt;"",AH126&gt;0,O126="Да",P126="Да",BZ126="ПОЛНО",ABS(AN126-1)&lt;='03_Настройки'!$B$5,IF(T126&gt;0,AND(U126&lt;&gt;"",V126&gt;0),TRUE()),IF(X126&gt;0,AND(Y126&lt;&gt;"",Z126&gt;0),TRUE()),IF(AB126&gt;0,AND(AC126&lt;&gt;"",AD126&gt;0),TRUE()),OR(BM126="",BM126="Активна")),"Да","Нет")</f>
        <v>Нет</v>
      </c>
      <c r="BA126" s="25" t="str">
        <f t="shared" si="72"/>
        <v>Нет</v>
      </c>
      <c r="BB126" s="25" t="str">
        <f t="shared" si="73"/>
        <v/>
      </c>
      <c r="BC126" s="25" t="str">
        <f t="shared" si="74"/>
        <v/>
      </c>
      <c r="BD126" s="25" t="str">
        <f t="shared" si="75"/>
        <v/>
      </c>
      <c r="BE126" s="25" t="str">
        <f>IF(A126="","",IF(BZ126&lt;&gt;"ПОЛНО","BLOCK: неполная форма",IF(O126&lt;&gt;"Да","BLOCK: ввоз не разрешён",IF(P126&lt;&gt;"Да","BLOCK: документы не подтверждены",IF(ABS(AN126-1)&gt;'03_Настройки'!$B$5,"BLOCK: платежи не 100%",IF(AND(BM126&lt;&gt;"",BM126&lt;&gt;"Активна"),"BLOCK: позиция "&amp;BM126,IF(BA126&lt;&gt;"Да","PARTIAL: не покрывает потребность",IF(BB126="ДА","самый дешёвый"&amp;IF(BC126="ДА"," + быстрый","")&amp;IF(BD126="ДА"," + optimal",""),IF(BC126="ДА","самый быстрый"&amp;IF(BD126="ДА"," + optimal",""),IF(BD126="ДА","optimal","Допущен"))))))))))</f>
        <v/>
      </c>
      <c r="BF126" s="25">
        <f>ROW()</f>
        <v>126</v>
      </c>
      <c r="BG126" s="33"/>
      <c r="BH126" s="33"/>
      <c r="BI126" s="33"/>
      <c r="BJ126" s="33"/>
      <c r="BK126" s="33"/>
      <c r="BL126" s="34"/>
      <c r="BM126" s="33"/>
      <c r="BN126" s="35" t="str">
        <f t="shared" si="76"/>
        <v/>
      </c>
      <c r="BO126" s="36" t="str">
        <f t="shared" si="77"/>
        <v/>
      </c>
      <c r="BP126" s="33"/>
      <c r="BQ126" s="38"/>
      <c r="BR126" s="13"/>
      <c r="BS126" s="13"/>
      <c r="BT126" s="13"/>
      <c r="BU126" s="13"/>
      <c r="BV126" s="13"/>
      <c r="BW126" s="13"/>
      <c r="BX126" s="39" t="str">
        <f t="shared" si="78"/>
        <v/>
      </c>
      <c r="BY126" s="47"/>
      <c r="BZ126" s="48" t="str">
        <f t="shared" si="79"/>
        <v/>
      </c>
      <c r="CA126" s="47"/>
      <c r="CB126" s="47"/>
      <c r="CC126" s="47"/>
    </row>
    <row r="127" spans="1:81" ht="14.25" x14ac:dyDescent="0.45">
      <c r="A127" s="10"/>
      <c r="B127" s="10"/>
      <c r="C127" s="10"/>
      <c r="D127" s="10"/>
      <c r="E127" s="10"/>
      <c r="F127" s="10"/>
      <c r="G127" s="10"/>
      <c r="H127" s="25" t="str">
        <f>IFERROR(VLOOKUP(C127,'01_Поставщики'!$A$4:$M$11,2,FALSE()),"")</f>
        <v/>
      </c>
      <c r="I127" s="10"/>
      <c r="J127" s="25" t="str">
        <f>IFERROR(VLOOKUP(C127,'01_Поставщики'!$A$4:$M$11,8,FALSE()),"")</f>
        <v/>
      </c>
      <c r="K127" s="25" t="str">
        <f>IFERROR(VLOOKUP(C127,'01_Поставщики'!$A$4:$M$11,4,FALSE()),"")</f>
        <v/>
      </c>
      <c r="L127" s="25" t="str">
        <f>IFERROR(VLOOKUP(C127,'01_Поставщики'!$A$4:$M$11,10,FALSE()),"")</f>
        <v/>
      </c>
      <c r="M127" s="26" t="str">
        <f>IF(OR(A127="",B127=""),"",IFERROR(SUMIFS('04_Потребность'!$B$4:$B$103,'04_Потребность'!$A$4:$A$103,A127,'04_Потребность'!$C$4:$C$103,B127),0))</f>
        <v/>
      </c>
      <c r="N127" s="11"/>
      <c r="O127" s="10"/>
      <c r="P127" s="10"/>
      <c r="Q127" s="27"/>
      <c r="R127" s="27"/>
      <c r="S127" s="8"/>
      <c r="T127" s="8">
        <f>IFERROR(INDEX('02_Схемы оплаты'!$C$4:$C$19,MATCH($C127&amp;"|"&amp;$G127,'02_Схемы оплаты'!$H$4:$H$19,0)),0)</f>
        <v>0</v>
      </c>
      <c r="U127" s="11"/>
      <c r="V127" s="28"/>
      <c r="W127" s="8"/>
      <c r="X127" s="8">
        <f>IFERROR(INDEX('02_Схемы оплаты'!$D$4:$D$19,MATCH($C127&amp;"|"&amp;$G127,'02_Схемы оплаты'!$H$4:$H$19,0)),0)</f>
        <v>0</v>
      </c>
      <c r="Y127" s="11"/>
      <c r="Z127" s="28"/>
      <c r="AA127" s="8"/>
      <c r="AB127" s="8">
        <f>IFERROR(INDEX('02_Схемы оплаты'!$E$4:$E$19,MATCH($C127&amp;"|"&amp;$G127,'02_Схемы оплаты'!$H$4:$H$19,0)),0)</f>
        <v>0</v>
      </c>
      <c r="AC127" s="11"/>
      <c r="AD127" s="28"/>
      <c r="AE127" s="8"/>
      <c r="AF127" s="10"/>
      <c r="AG127" s="10"/>
      <c r="AH127" s="25">
        <f>IFERROR(SUMIFS('04_Потребность'!$D$4:$D$103,'04_Потребность'!$A$4:$A$103,A127,'04_Потребность'!$C$4:$C$103,B127),0)</f>
        <v>0</v>
      </c>
      <c r="AI127" s="26" t="str">
        <f>IF(OR(A127="",B127=""),"",IFERROR(SUMIFS('04_Потребность'!$E$4:$E$103,'04_Потребность'!$A$4:$A$103,A127,'04_Потребность'!$C$4:$C$103,B127),0))</f>
        <v/>
      </c>
      <c r="AJ127" s="25" t="str">
        <f>IF(OR(A127="",B127=""),"",IFERROR(SUMIFS('04_Потребность'!$F$4:$F$103,'04_Потребность'!$A$4:$A$103,A127,'04_Потребность'!$C$4:$C$103,B127),0))</f>
        <v/>
      </c>
      <c r="AK127" s="29" t="str">
        <f>IF(OR(A127="",B127=""),"",IFERROR(SUMIFS('04_Потребность'!$G$4:$G$103,'04_Потребность'!$A$4:$A$103,A127,'04_Потребность'!$C$4:$C$103,B127),0))</f>
        <v/>
      </c>
      <c r="AL127" s="25" t="str">
        <f>IF('03_Настройки'!$B$7="Нет","Нет",IF(COUNTIFS('04_Потребность'!$A$4:$A$103,A127,'04_Потребность'!$C$4:$C$103,B127,'04_Потребность'!$H$4:$H$103,"Да")&gt;0,"Да","Нет"))</f>
        <v>Нет</v>
      </c>
      <c r="AM127" s="30">
        <f t="shared" si="60"/>
        <v>0</v>
      </c>
      <c r="AN127" s="30">
        <f t="shared" si="61"/>
        <v>0</v>
      </c>
      <c r="AO127" s="29">
        <f t="shared" si="62"/>
        <v>0</v>
      </c>
      <c r="AP127" s="29">
        <f t="shared" si="63"/>
        <v>0</v>
      </c>
      <c r="AQ127" s="29">
        <f t="shared" si="64"/>
        <v>0</v>
      </c>
      <c r="AR127" s="29">
        <f>IFERROR(E127*'03_Настройки'!$B$4/365*(IF(T127&gt;0,T127*V127*(1+W127)*MAX(0,N127-U127),0)+IF(X127&gt;0,X127*Z127*(1+AA127)*MAX(0,N127-Y127),0)+IF(AB127&gt;0,AB127*AD127*(1+AE127)*MAX(0,N127-AC127),0)),0)</f>
        <v>0</v>
      </c>
      <c r="AS127" s="29">
        <f t="shared" si="65"/>
        <v>0</v>
      </c>
      <c r="AT127" s="31">
        <f t="shared" si="66"/>
        <v>0</v>
      </c>
      <c r="AU127" s="31">
        <f t="shared" si="67"/>
        <v>0</v>
      </c>
      <c r="AV127" s="32">
        <f t="shared" si="68"/>
        <v>0</v>
      </c>
      <c r="AW127" s="29" t="e">
        <f t="shared" si="69"/>
        <v>#VALUE!</v>
      </c>
      <c r="AX127" s="29">
        <f t="shared" si="70"/>
        <v>0</v>
      </c>
      <c r="AY127" s="29" t="e">
        <f t="shared" si="71"/>
        <v>#VALUE!</v>
      </c>
      <c r="AZ127" s="25" t="str">
        <f>IF(AND(A127&lt;&gt;"",B127&lt;&gt;"",C127&lt;&gt;"",D127&gt;0,E127&gt;0,N127&lt;&gt;"",AH127&gt;0,O127="Да",P127="Да",BZ127="ПОЛНО",ABS(AN127-1)&lt;='03_Настройки'!$B$5,IF(T127&gt;0,AND(U127&lt;&gt;"",V127&gt;0),TRUE()),IF(X127&gt;0,AND(Y127&lt;&gt;"",Z127&gt;0),TRUE()),IF(AB127&gt;0,AND(AC127&lt;&gt;"",AD127&gt;0),TRUE()),OR(BM127="",BM127="Активна")),"Да","Нет")</f>
        <v>Нет</v>
      </c>
      <c r="BA127" s="25" t="str">
        <f t="shared" si="72"/>
        <v>Нет</v>
      </c>
      <c r="BB127" s="25" t="str">
        <f t="shared" si="73"/>
        <v/>
      </c>
      <c r="BC127" s="25" t="str">
        <f t="shared" si="74"/>
        <v/>
      </c>
      <c r="BD127" s="25" t="str">
        <f t="shared" si="75"/>
        <v/>
      </c>
      <c r="BE127" s="25" t="str">
        <f>IF(A127="","",IF(BZ127&lt;&gt;"ПОЛНО","BLOCK: неполная форма",IF(O127&lt;&gt;"Да","BLOCK: ввоз не разрешён",IF(P127&lt;&gt;"Да","BLOCK: документы не подтверждены",IF(ABS(AN127-1)&gt;'03_Настройки'!$B$5,"BLOCK: платежи не 100%",IF(AND(BM127&lt;&gt;"",BM127&lt;&gt;"Активна"),"BLOCK: позиция "&amp;BM127,IF(BA127&lt;&gt;"Да","PARTIAL: не покрывает потребность",IF(BB127="ДА","самый дешёвый"&amp;IF(BC127="ДА"," + быстрый","")&amp;IF(BD127="ДА"," + optimal",""),IF(BC127="ДА","самый быстрый"&amp;IF(BD127="ДА"," + optimal",""),IF(BD127="ДА","optimal","Допущен"))))))))))</f>
        <v/>
      </c>
      <c r="BF127" s="25">
        <f>ROW()</f>
        <v>127</v>
      </c>
      <c r="BG127" s="33"/>
      <c r="BH127" s="33"/>
      <c r="BI127" s="33"/>
      <c r="BJ127" s="33"/>
      <c r="BK127" s="33"/>
      <c r="BL127" s="34"/>
      <c r="BM127" s="33"/>
      <c r="BN127" s="35" t="str">
        <f t="shared" si="76"/>
        <v/>
      </c>
      <c r="BO127" s="36" t="str">
        <f t="shared" si="77"/>
        <v/>
      </c>
      <c r="BP127" s="33"/>
      <c r="BQ127" s="38"/>
      <c r="BR127" s="13"/>
      <c r="BS127" s="13"/>
      <c r="BT127" s="13"/>
      <c r="BU127" s="13"/>
      <c r="BV127" s="13"/>
      <c r="BW127" s="13"/>
      <c r="BX127" s="39" t="str">
        <f t="shared" si="78"/>
        <v/>
      </c>
      <c r="BY127" s="47"/>
      <c r="BZ127" s="48" t="str">
        <f t="shared" si="79"/>
        <v/>
      </c>
      <c r="CA127" s="47"/>
      <c r="CB127" s="47"/>
      <c r="CC127" s="47"/>
    </row>
    <row r="128" spans="1:81" ht="14.25" x14ac:dyDescent="0.45">
      <c r="A128" s="10"/>
      <c r="B128" s="10"/>
      <c r="C128" s="10"/>
      <c r="D128" s="10"/>
      <c r="E128" s="10"/>
      <c r="F128" s="10"/>
      <c r="G128" s="10"/>
      <c r="H128" s="25" t="str">
        <f>IFERROR(VLOOKUP(C128,'01_Поставщики'!$A$4:$M$11,2,FALSE()),"")</f>
        <v/>
      </c>
      <c r="I128" s="10"/>
      <c r="J128" s="25" t="str">
        <f>IFERROR(VLOOKUP(C128,'01_Поставщики'!$A$4:$M$11,8,FALSE()),"")</f>
        <v/>
      </c>
      <c r="K128" s="25" t="str">
        <f>IFERROR(VLOOKUP(C128,'01_Поставщики'!$A$4:$M$11,4,FALSE()),"")</f>
        <v/>
      </c>
      <c r="L128" s="25" t="str">
        <f>IFERROR(VLOOKUP(C128,'01_Поставщики'!$A$4:$M$11,10,FALSE()),"")</f>
        <v/>
      </c>
      <c r="M128" s="26" t="str">
        <f>IF(OR(A128="",B128=""),"",IFERROR(SUMIFS('04_Потребность'!$B$4:$B$103,'04_Потребность'!$A$4:$A$103,A128,'04_Потребность'!$C$4:$C$103,B128),0))</f>
        <v/>
      </c>
      <c r="N128" s="11"/>
      <c r="O128" s="10"/>
      <c r="P128" s="10"/>
      <c r="Q128" s="27"/>
      <c r="R128" s="27"/>
      <c r="S128" s="8"/>
      <c r="T128" s="8">
        <f>IFERROR(INDEX('02_Схемы оплаты'!$C$4:$C$19,MATCH($C128&amp;"|"&amp;$G128,'02_Схемы оплаты'!$H$4:$H$19,0)),0)</f>
        <v>0</v>
      </c>
      <c r="U128" s="11"/>
      <c r="V128" s="28"/>
      <c r="W128" s="8"/>
      <c r="X128" s="8">
        <f>IFERROR(INDEX('02_Схемы оплаты'!$D$4:$D$19,MATCH($C128&amp;"|"&amp;$G128,'02_Схемы оплаты'!$H$4:$H$19,0)),0)</f>
        <v>0</v>
      </c>
      <c r="Y128" s="11"/>
      <c r="Z128" s="28"/>
      <c r="AA128" s="8"/>
      <c r="AB128" s="8">
        <f>IFERROR(INDEX('02_Схемы оплаты'!$E$4:$E$19,MATCH($C128&amp;"|"&amp;$G128,'02_Схемы оплаты'!$H$4:$H$19,0)),0)</f>
        <v>0</v>
      </c>
      <c r="AC128" s="11"/>
      <c r="AD128" s="28"/>
      <c r="AE128" s="8"/>
      <c r="AF128" s="10"/>
      <c r="AG128" s="10"/>
      <c r="AH128" s="25">
        <f>IFERROR(SUMIFS('04_Потребность'!$D$4:$D$103,'04_Потребность'!$A$4:$A$103,A128,'04_Потребность'!$C$4:$C$103,B128),0)</f>
        <v>0</v>
      </c>
      <c r="AI128" s="26" t="str">
        <f>IF(OR(A128="",B128=""),"",IFERROR(SUMIFS('04_Потребность'!$E$4:$E$103,'04_Потребность'!$A$4:$A$103,A128,'04_Потребность'!$C$4:$C$103,B128),0))</f>
        <v/>
      </c>
      <c r="AJ128" s="25" t="str">
        <f>IF(OR(A128="",B128=""),"",IFERROR(SUMIFS('04_Потребность'!$F$4:$F$103,'04_Потребность'!$A$4:$A$103,A128,'04_Потребность'!$C$4:$C$103,B128),0))</f>
        <v/>
      </c>
      <c r="AK128" s="29" t="str">
        <f>IF(OR(A128="",B128=""),"",IFERROR(SUMIFS('04_Потребность'!$G$4:$G$103,'04_Потребность'!$A$4:$A$103,A128,'04_Потребность'!$C$4:$C$103,B128),0))</f>
        <v/>
      </c>
      <c r="AL128" s="25" t="str">
        <f>IF('03_Настройки'!$B$7="Нет","Нет",IF(COUNTIFS('04_Потребность'!$A$4:$A$103,A128,'04_Потребность'!$C$4:$C$103,B128,'04_Потребность'!$H$4:$H$103,"Да")&gt;0,"Да","Нет"))</f>
        <v>Нет</v>
      </c>
      <c r="AM128" s="30">
        <f t="shared" si="60"/>
        <v>0</v>
      </c>
      <c r="AN128" s="30">
        <f t="shared" si="61"/>
        <v>0</v>
      </c>
      <c r="AO128" s="29">
        <f t="shared" si="62"/>
        <v>0</v>
      </c>
      <c r="AP128" s="29">
        <f t="shared" si="63"/>
        <v>0</v>
      </c>
      <c r="AQ128" s="29">
        <f t="shared" si="64"/>
        <v>0</v>
      </c>
      <c r="AR128" s="29">
        <f>IFERROR(E128*'03_Настройки'!$B$4/365*(IF(T128&gt;0,T128*V128*(1+W128)*MAX(0,N128-U128),0)+IF(X128&gt;0,X128*Z128*(1+AA128)*MAX(0,N128-Y128),0)+IF(AB128&gt;0,AB128*AD128*(1+AE128)*MAX(0,N128-AC128),0)),0)</f>
        <v>0</v>
      </c>
      <c r="AS128" s="29">
        <f t="shared" si="65"/>
        <v>0</v>
      </c>
      <c r="AT128" s="31">
        <f t="shared" si="66"/>
        <v>0</v>
      </c>
      <c r="AU128" s="31">
        <f t="shared" si="67"/>
        <v>0</v>
      </c>
      <c r="AV128" s="32">
        <f t="shared" si="68"/>
        <v>0</v>
      </c>
      <c r="AW128" s="29" t="e">
        <f t="shared" si="69"/>
        <v>#VALUE!</v>
      </c>
      <c r="AX128" s="29">
        <f t="shared" si="70"/>
        <v>0</v>
      </c>
      <c r="AY128" s="29" t="e">
        <f t="shared" si="71"/>
        <v>#VALUE!</v>
      </c>
      <c r="AZ128" s="25" t="str">
        <f>IF(AND(A128&lt;&gt;"",B128&lt;&gt;"",C128&lt;&gt;"",D128&gt;0,E128&gt;0,N128&lt;&gt;"",AH128&gt;0,O128="Да",P128="Да",BZ128="ПОЛНО",ABS(AN128-1)&lt;='03_Настройки'!$B$5,IF(T128&gt;0,AND(U128&lt;&gt;"",V128&gt;0),TRUE()),IF(X128&gt;0,AND(Y128&lt;&gt;"",Z128&gt;0),TRUE()),IF(AB128&gt;0,AND(AC128&lt;&gt;"",AD128&gt;0),TRUE()),OR(BM128="",BM128="Активна")),"Да","Нет")</f>
        <v>Нет</v>
      </c>
      <c r="BA128" s="25" t="str">
        <f t="shared" si="72"/>
        <v>Нет</v>
      </c>
      <c r="BB128" s="25" t="str">
        <f t="shared" si="73"/>
        <v/>
      </c>
      <c r="BC128" s="25" t="str">
        <f t="shared" si="74"/>
        <v/>
      </c>
      <c r="BD128" s="25" t="str">
        <f t="shared" si="75"/>
        <v/>
      </c>
      <c r="BE128" s="25" t="str">
        <f>IF(A128="","",IF(BZ128&lt;&gt;"ПОЛНО","BLOCK: неполная форма",IF(O128&lt;&gt;"Да","BLOCK: ввоз не разрешён",IF(P128&lt;&gt;"Да","BLOCK: документы не подтверждены",IF(ABS(AN128-1)&gt;'03_Настройки'!$B$5,"BLOCK: платежи не 100%",IF(AND(BM128&lt;&gt;"",BM128&lt;&gt;"Активна"),"BLOCK: позиция "&amp;BM128,IF(BA128&lt;&gt;"Да","PARTIAL: не покрывает потребность",IF(BB128="ДА","самый дешёвый"&amp;IF(BC128="ДА"," + быстрый","")&amp;IF(BD128="ДА"," + optimal",""),IF(BC128="ДА","самый быстрый"&amp;IF(BD128="ДА"," + optimal",""),IF(BD128="ДА","optimal","Допущен"))))))))))</f>
        <v/>
      </c>
      <c r="BF128" s="25">
        <f>ROW()</f>
        <v>128</v>
      </c>
      <c r="BG128" s="33"/>
      <c r="BH128" s="33"/>
      <c r="BI128" s="33"/>
      <c r="BJ128" s="33"/>
      <c r="BK128" s="33"/>
      <c r="BL128" s="34"/>
      <c r="BM128" s="33"/>
      <c r="BN128" s="35" t="str">
        <f t="shared" si="76"/>
        <v/>
      </c>
      <c r="BO128" s="36" t="str">
        <f t="shared" si="77"/>
        <v/>
      </c>
      <c r="BP128" s="33"/>
      <c r="BQ128" s="38"/>
      <c r="BR128" s="13"/>
      <c r="BS128" s="13"/>
      <c r="BT128" s="13"/>
      <c r="BU128" s="13"/>
      <c r="BV128" s="13"/>
      <c r="BW128" s="13"/>
      <c r="BX128" s="39" t="str">
        <f t="shared" si="78"/>
        <v/>
      </c>
      <c r="BY128" s="47"/>
      <c r="BZ128" s="48" t="str">
        <f t="shared" si="79"/>
        <v/>
      </c>
      <c r="CA128" s="47"/>
      <c r="CB128" s="47"/>
      <c r="CC128" s="47"/>
    </row>
    <row r="129" spans="1:81" ht="14.25" x14ac:dyDescent="0.45">
      <c r="A129" s="10"/>
      <c r="B129" s="10"/>
      <c r="C129" s="10"/>
      <c r="D129" s="10"/>
      <c r="E129" s="10"/>
      <c r="F129" s="10"/>
      <c r="G129" s="10"/>
      <c r="H129" s="25" t="str">
        <f>IFERROR(VLOOKUP(C129,'01_Поставщики'!$A$4:$M$11,2,FALSE()),"")</f>
        <v/>
      </c>
      <c r="I129" s="10"/>
      <c r="J129" s="25" t="str">
        <f>IFERROR(VLOOKUP(C129,'01_Поставщики'!$A$4:$M$11,8,FALSE()),"")</f>
        <v/>
      </c>
      <c r="K129" s="25" t="str">
        <f>IFERROR(VLOOKUP(C129,'01_Поставщики'!$A$4:$M$11,4,FALSE()),"")</f>
        <v/>
      </c>
      <c r="L129" s="25" t="str">
        <f>IFERROR(VLOOKUP(C129,'01_Поставщики'!$A$4:$M$11,10,FALSE()),"")</f>
        <v/>
      </c>
      <c r="M129" s="26" t="str">
        <f>IF(OR(A129="",B129=""),"",IFERROR(SUMIFS('04_Потребность'!$B$4:$B$103,'04_Потребность'!$A$4:$A$103,A129,'04_Потребность'!$C$4:$C$103,B129),0))</f>
        <v/>
      </c>
      <c r="N129" s="11"/>
      <c r="O129" s="10"/>
      <c r="P129" s="10"/>
      <c r="Q129" s="27"/>
      <c r="R129" s="27"/>
      <c r="S129" s="8"/>
      <c r="T129" s="8">
        <f>IFERROR(INDEX('02_Схемы оплаты'!$C$4:$C$19,MATCH($C129&amp;"|"&amp;$G129,'02_Схемы оплаты'!$H$4:$H$19,0)),0)</f>
        <v>0</v>
      </c>
      <c r="U129" s="11"/>
      <c r="V129" s="28"/>
      <c r="W129" s="8"/>
      <c r="X129" s="8">
        <f>IFERROR(INDEX('02_Схемы оплаты'!$D$4:$D$19,MATCH($C129&amp;"|"&amp;$G129,'02_Схемы оплаты'!$H$4:$H$19,0)),0)</f>
        <v>0</v>
      </c>
      <c r="Y129" s="11"/>
      <c r="Z129" s="28"/>
      <c r="AA129" s="8"/>
      <c r="AB129" s="8">
        <f>IFERROR(INDEX('02_Схемы оплаты'!$E$4:$E$19,MATCH($C129&amp;"|"&amp;$G129,'02_Схемы оплаты'!$H$4:$H$19,0)),0)</f>
        <v>0</v>
      </c>
      <c r="AC129" s="11"/>
      <c r="AD129" s="28"/>
      <c r="AE129" s="8"/>
      <c r="AF129" s="10"/>
      <c r="AG129" s="10"/>
      <c r="AH129" s="25">
        <f>IFERROR(SUMIFS('04_Потребность'!$D$4:$D$103,'04_Потребность'!$A$4:$A$103,A129,'04_Потребность'!$C$4:$C$103,B129),0)</f>
        <v>0</v>
      </c>
      <c r="AI129" s="26" t="str">
        <f>IF(OR(A129="",B129=""),"",IFERROR(SUMIFS('04_Потребность'!$E$4:$E$103,'04_Потребность'!$A$4:$A$103,A129,'04_Потребность'!$C$4:$C$103,B129),0))</f>
        <v/>
      </c>
      <c r="AJ129" s="25" t="str">
        <f>IF(OR(A129="",B129=""),"",IFERROR(SUMIFS('04_Потребность'!$F$4:$F$103,'04_Потребность'!$A$4:$A$103,A129,'04_Потребность'!$C$4:$C$103,B129),0))</f>
        <v/>
      </c>
      <c r="AK129" s="29" t="str">
        <f>IF(OR(A129="",B129=""),"",IFERROR(SUMIFS('04_Потребность'!$G$4:$G$103,'04_Потребность'!$A$4:$A$103,A129,'04_Потребность'!$C$4:$C$103,B129),0))</f>
        <v/>
      </c>
      <c r="AL129" s="25" t="str">
        <f>IF('03_Настройки'!$B$7="Нет","Нет",IF(COUNTIFS('04_Потребность'!$A$4:$A$103,A129,'04_Потребность'!$C$4:$C$103,B129,'04_Потребность'!$H$4:$H$103,"Да")&gt;0,"Да","Нет"))</f>
        <v>Нет</v>
      </c>
      <c r="AM129" s="30">
        <f t="shared" si="60"/>
        <v>0</v>
      </c>
      <c r="AN129" s="30">
        <f t="shared" si="61"/>
        <v>0</v>
      </c>
      <c r="AO129" s="29">
        <f t="shared" si="62"/>
        <v>0</v>
      </c>
      <c r="AP129" s="29">
        <f t="shared" si="63"/>
        <v>0</v>
      </c>
      <c r="AQ129" s="29">
        <f t="shared" si="64"/>
        <v>0</v>
      </c>
      <c r="AR129" s="29">
        <f>IFERROR(E129*'03_Настройки'!$B$4/365*(IF(T129&gt;0,T129*V129*(1+W129)*MAX(0,N129-U129),0)+IF(X129&gt;0,X129*Z129*(1+AA129)*MAX(0,N129-Y129),0)+IF(AB129&gt;0,AB129*AD129*(1+AE129)*MAX(0,N129-AC129),0)),0)</f>
        <v>0</v>
      </c>
      <c r="AS129" s="29">
        <f t="shared" si="65"/>
        <v>0</v>
      </c>
      <c r="AT129" s="31">
        <f t="shared" si="66"/>
        <v>0</v>
      </c>
      <c r="AU129" s="31">
        <f t="shared" si="67"/>
        <v>0</v>
      </c>
      <c r="AV129" s="32">
        <f t="shared" si="68"/>
        <v>0</v>
      </c>
      <c r="AW129" s="29" t="e">
        <f t="shared" si="69"/>
        <v>#VALUE!</v>
      </c>
      <c r="AX129" s="29">
        <f t="shared" si="70"/>
        <v>0</v>
      </c>
      <c r="AY129" s="29" t="e">
        <f t="shared" si="71"/>
        <v>#VALUE!</v>
      </c>
      <c r="AZ129" s="25" t="str">
        <f>IF(AND(A129&lt;&gt;"",B129&lt;&gt;"",C129&lt;&gt;"",D129&gt;0,E129&gt;0,N129&lt;&gt;"",AH129&gt;0,O129="Да",P129="Да",BZ129="ПОЛНО",ABS(AN129-1)&lt;='03_Настройки'!$B$5,IF(T129&gt;0,AND(U129&lt;&gt;"",V129&gt;0),TRUE()),IF(X129&gt;0,AND(Y129&lt;&gt;"",Z129&gt;0),TRUE()),IF(AB129&gt;0,AND(AC129&lt;&gt;"",AD129&gt;0),TRUE()),OR(BM129="",BM129="Активна")),"Да","Нет")</f>
        <v>Нет</v>
      </c>
      <c r="BA129" s="25" t="str">
        <f t="shared" si="72"/>
        <v>Нет</v>
      </c>
      <c r="BB129" s="25" t="str">
        <f t="shared" si="73"/>
        <v/>
      </c>
      <c r="BC129" s="25" t="str">
        <f t="shared" si="74"/>
        <v/>
      </c>
      <c r="BD129" s="25" t="str">
        <f t="shared" si="75"/>
        <v/>
      </c>
      <c r="BE129" s="25" t="str">
        <f>IF(A129="","",IF(BZ129&lt;&gt;"ПОЛНО","BLOCK: неполная форма",IF(O129&lt;&gt;"Да","BLOCK: ввоз не разрешён",IF(P129&lt;&gt;"Да","BLOCK: документы не подтверждены",IF(ABS(AN129-1)&gt;'03_Настройки'!$B$5,"BLOCK: платежи не 100%",IF(AND(BM129&lt;&gt;"",BM129&lt;&gt;"Активна"),"BLOCK: позиция "&amp;BM129,IF(BA129&lt;&gt;"Да","PARTIAL: не покрывает потребность",IF(BB129="ДА","самый дешёвый"&amp;IF(BC129="ДА"," + быстрый","")&amp;IF(BD129="ДА"," + optimal",""),IF(BC129="ДА","самый быстрый"&amp;IF(BD129="ДА"," + optimal",""),IF(BD129="ДА","optimal","Допущен"))))))))))</f>
        <v/>
      </c>
      <c r="BF129" s="25">
        <f>ROW()</f>
        <v>129</v>
      </c>
      <c r="BG129" s="33"/>
      <c r="BH129" s="33"/>
      <c r="BI129" s="33"/>
      <c r="BJ129" s="33"/>
      <c r="BK129" s="33"/>
      <c r="BL129" s="34"/>
      <c r="BM129" s="33"/>
      <c r="BN129" s="35" t="str">
        <f t="shared" si="76"/>
        <v/>
      </c>
      <c r="BO129" s="36" t="str">
        <f t="shared" si="77"/>
        <v/>
      </c>
      <c r="BP129" s="33"/>
      <c r="BQ129" s="38"/>
      <c r="BR129" s="13"/>
      <c r="BS129" s="13"/>
      <c r="BT129" s="13"/>
      <c r="BU129" s="13"/>
      <c r="BV129" s="13"/>
      <c r="BW129" s="13"/>
      <c r="BX129" s="39" t="str">
        <f t="shared" si="78"/>
        <v/>
      </c>
      <c r="BY129" s="47"/>
      <c r="BZ129" s="48" t="str">
        <f t="shared" si="79"/>
        <v/>
      </c>
      <c r="CA129" s="47"/>
      <c r="CB129" s="47"/>
      <c r="CC129" s="47"/>
    </row>
    <row r="130" spans="1:81" ht="14.25" x14ac:dyDescent="0.45">
      <c r="A130" s="10"/>
      <c r="B130" s="10"/>
      <c r="C130" s="10"/>
      <c r="D130" s="10"/>
      <c r="E130" s="10"/>
      <c r="F130" s="10"/>
      <c r="G130" s="10"/>
      <c r="H130" s="25" t="str">
        <f>IFERROR(VLOOKUP(C130,'01_Поставщики'!$A$4:$M$11,2,FALSE()),"")</f>
        <v/>
      </c>
      <c r="I130" s="10"/>
      <c r="J130" s="25" t="str">
        <f>IFERROR(VLOOKUP(C130,'01_Поставщики'!$A$4:$M$11,8,FALSE()),"")</f>
        <v/>
      </c>
      <c r="K130" s="25" t="str">
        <f>IFERROR(VLOOKUP(C130,'01_Поставщики'!$A$4:$M$11,4,FALSE()),"")</f>
        <v/>
      </c>
      <c r="L130" s="25" t="str">
        <f>IFERROR(VLOOKUP(C130,'01_Поставщики'!$A$4:$M$11,10,FALSE()),"")</f>
        <v/>
      </c>
      <c r="M130" s="26" t="str">
        <f>IF(OR(A130="",B130=""),"",IFERROR(SUMIFS('04_Потребность'!$B$4:$B$103,'04_Потребность'!$A$4:$A$103,A130,'04_Потребность'!$C$4:$C$103,B130),0))</f>
        <v/>
      </c>
      <c r="N130" s="11"/>
      <c r="O130" s="10"/>
      <c r="P130" s="10"/>
      <c r="Q130" s="27"/>
      <c r="R130" s="27"/>
      <c r="S130" s="8"/>
      <c r="T130" s="8">
        <f>IFERROR(INDEX('02_Схемы оплаты'!$C$4:$C$19,MATCH($C130&amp;"|"&amp;$G130,'02_Схемы оплаты'!$H$4:$H$19,0)),0)</f>
        <v>0</v>
      </c>
      <c r="U130" s="11"/>
      <c r="V130" s="28"/>
      <c r="W130" s="8"/>
      <c r="X130" s="8">
        <f>IFERROR(INDEX('02_Схемы оплаты'!$D$4:$D$19,MATCH($C130&amp;"|"&amp;$G130,'02_Схемы оплаты'!$H$4:$H$19,0)),0)</f>
        <v>0</v>
      </c>
      <c r="Y130" s="11"/>
      <c r="Z130" s="28"/>
      <c r="AA130" s="8"/>
      <c r="AB130" s="8">
        <f>IFERROR(INDEX('02_Схемы оплаты'!$E$4:$E$19,MATCH($C130&amp;"|"&amp;$G130,'02_Схемы оплаты'!$H$4:$H$19,0)),0)</f>
        <v>0</v>
      </c>
      <c r="AC130" s="11"/>
      <c r="AD130" s="28"/>
      <c r="AE130" s="8"/>
      <c r="AF130" s="10"/>
      <c r="AG130" s="10"/>
      <c r="AH130" s="25">
        <f>IFERROR(SUMIFS('04_Потребность'!$D$4:$D$103,'04_Потребность'!$A$4:$A$103,A130,'04_Потребность'!$C$4:$C$103,B130),0)</f>
        <v>0</v>
      </c>
      <c r="AI130" s="26" t="str">
        <f>IF(OR(A130="",B130=""),"",IFERROR(SUMIFS('04_Потребность'!$E$4:$E$103,'04_Потребность'!$A$4:$A$103,A130,'04_Потребность'!$C$4:$C$103,B130),0))</f>
        <v/>
      </c>
      <c r="AJ130" s="25" t="str">
        <f>IF(OR(A130="",B130=""),"",IFERROR(SUMIFS('04_Потребность'!$F$4:$F$103,'04_Потребность'!$A$4:$A$103,A130,'04_Потребность'!$C$4:$C$103,B130),0))</f>
        <v/>
      </c>
      <c r="AK130" s="29" t="str">
        <f>IF(OR(A130="",B130=""),"",IFERROR(SUMIFS('04_Потребность'!$G$4:$G$103,'04_Потребность'!$A$4:$A$103,A130,'04_Потребность'!$C$4:$C$103,B130),0))</f>
        <v/>
      </c>
      <c r="AL130" s="25" t="str">
        <f>IF('03_Настройки'!$B$7="Нет","Нет",IF(COUNTIFS('04_Потребность'!$A$4:$A$103,A130,'04_Потребность'!$C$4:$C$103,B130,'04_Потребность'!$H$4:$H$103,"Да")&gt;0,"Да","Нет"))</f>
        <v>Нет</v>
      </c>
      <c r="AM130" s="30">
        <f t="shared" si="60"/>
        <v>0</v>
      </c>
      <c r="AN130" s="30">
        <f t="shared" si="61"/>
        <v>0</v>
      </c>
      <c r="AO130" s="29">
        <f t="shared" si="62"/>
        <v>0</v>
      </c>
      <c r="AP130" s="29">
        <f t="shared" si="63"/>
        <v>0</v>
      </c>
      <c r="AQ130" s="29">
        <f t="shared" si="64"/>
        <v>0</v>
      </c>
      <c r="AR130" s="29">
        <f>IFERROR(E130*'03_Настройки'!$B$4/365*(IF(T130&gt;0,T130*V130*(1+W130)*MAX(0,N130-U130),0)+IF(X130&gt;0,X130*Z130*(1+AA130)*MAX(0,N130-Y130),0)+IF(AB130&gt;0,AB130*AD130*(1+AE130)*MAX(0,N130-AC130),0)),0)</f>
        <v>0</v>
      </c>
      <c r="AS130" s="29">
        <f t="shared" si="65"/>
        <v>0</v>
      </c>
      <c r="AT130" s="31">
        <f t="shared" si="66"/>
        <v>0</v>
      </c>
      <c r="AU130" s="31">
        <f t="shared" si="67"/>
        <v>0</v>
      </c>
      <c r="AV130" s="32">
        <f t="shared" si="68"/>
        <v>0</v>
      </c>
      <c r="AW130" s="29" t="e">
        <f t="shared" si="69"/>
        <v>#VALUE!</v>
      </c>
      <c r="AX130" s="29">
        <f t="shared" si="70"/>
        <v>0</v>
      </c>
      <c r="AY130" s="29" t="e">
        <f t="shared" si="71"/>
        <v>#VALUE!</v>
      </c>
      <c r="AZ130" s="25" t="str">
        <f>IF(AND(A130&lt;&gt;"",B130&lt;&gt;"",C130&lt;&gt;"",D130&gt;0,E130&gt;0,N130&lt;&gt;"",AH130&gt;0,O130="Да",P130="Да",BZ130="ПОЛНО",ABS(AN130-1)&lt;='03_Настройки'!$B$5,IF(T130&gt;0,AND(U130&lt;&gt;"",V130&gt;0),TRUE()),IF(X130&gt;0,AND(Y130&lt;&gt;"",Z130&gt;0),TRUE()),IF(AB130&gt;0,AND(AC130&lt;&gt;"",AD130&gt;0),TRUE()),OR(BM130="",BM130="Активна")),"Да","Нет")</f>
        <v>Нет</v>
      </c>
      <c r="BA130" s="25" t="str">
        <f t="shared" si="72"/>
        <v>Нет</v>
      </c>
      <c r="BB130" s="25" t="str">
        <f t="shared" si="73"/>
        <v/>
      </c>
      <c r="BC130" s="25" t="str">
        <f t="shared" si="74"/>
        <v/>
      </c>
      <c r="BD130" s="25" t="str">
        <f t="shared" si="75"/>
        <v/>
      </c>
      <c r="BE130" s="25" t="str">
        <f>IF(A130="","",IF(BZ130&lt;&gt;"ПОЛНО","BLOCK: неполная форма",IF(O130&lt;&gt;"Да","BLOCK: ввоз не разрешён",IF(P130&lt;&gt;"Да","BLOCK: документы не подтверждены",IF(ABS(AN130-1)&gt;'03_Настройки'!$B$5,"BLOCK: платежи не 100%",IF(AND(BM130&lt;&gt;"",BM130&lt;&gt;"Активна"),"BLOCK: позиция "&amp;BM130,IF(BA130&lt;&gt;"Да","PARTIAL: не покрывает потребность",IF(BB130="ДА","самый дешёвый"&amp;IF(BC130="ДА"," + быстрый","")&amp;IF(BD130="ДА"," + optimal",""),IF(BC130="ДА","самый быстрый"&amp;IF(BD130="ДА"," + optimal",""),IF(BD130="ДА","optimal","Допущен"))))))))))</f>
        <v/>
      </c>
      <c r="BF130" s="25">
        <f>ROW()</f>
        <v>130</v>
      </c>
      <c r="BG130" s="33"/>
      <c r="BH130" s="33"/>
      <c r="BI130" s="33"/>
      <c r="BJ130" s="33"/>
      <c r="BK130" s="33"/>
      <c r="BL130" s="34"/>
      <c r="BM130" s="33"/>
      <c r="BN130" s="35" t="str">
        <f t="shared" si="76"/>
        <v/>
      </c>
      <c r="BO130" s="36" t="str">
        <f t="shared" si="77"/>
        <v/>
      </c>
      <c r="BP130" s="33"/>
      <c r="BQ130" s="38"/>
      <c r="BR130" s="13"/>
      <c r="BS130" s="13"/>
      <c r="BT130" s="13"/>
      <c r="BU130" s="13"/>
      <c r="BV130" s="13"/>
      <c r="BW130" s="13"/>
      <c r="BX130" s="39" t="str">
        <f t="shared" si="78"/>
        <v/>
      </c>
      <c r="BY130" s="47"/>
      <c r="BZ130" s="48" t="str">
        <f t="shared" si="79"/>
        <v/>
      </c>
      <c r="CA130" s="47"/>
      <c r="CB130" s="47"/>
      <c r="CC130" s="47"/>
    </row>
    <row r="131" spans="1:81" ht="14.25" x14ac:dyDescent="0.45">
      <c r="A131" s="10"/>
      <c r="B131" s="10"/>
      <c r="C131" s="10"/>
      <c r="D131" s="10"/>
      <c r="E131" s="10"/>
      <c r="F131" s="10"/>
      <c r="G131" s="10"/>
      <c r="H131" s="25" t="str">
        <f>IFERROR(VLOOKUP(C131,'01_Поставщики'!$A$4:$M$11,2,FALSE()),"")</f>
        <v/>
      </c>
      <c r="I131" s="10"/>
      <c r="J131" s="25" t="str">
        <f>IFERROR(VLOOKUP(C131,'01_Поставщики'!$A$4:$M$11,8,FALSE()),"")</f>
        <v/>
      </c>
      <c r="K131" s="25" t="str">
        <f>IFERROR(VLOOKUP(C131,'01_Поставщики'!$A$4:$M$11,4,FALSE()),"")</f>
        <v/>
      </c>
      <c r="L131" s="25" t="str">
        <f>IFERROR(VLOOKUP(C131,'01_Поставщики'!$A$4:$M$11,10,FALSE()),"")</f>
        <v/>
      </c>
      <c r="M131" s="26" t="str">
        <f>IF(OR(A131="",B131=""),"",IFERROR(SUMIFS('04_Потребность'!$B$4:$B$103,'04_Потребность'!$A$4:$A$103,A131,'04_Потребность'!$C$4:$C$103,B131),0))</f>
        <v/>
      </c>
      <c r="N131" s="11"/>
      <c r="O131" s="10"/>
      <c r="P131" s="10"/>
      <c r="Q131" s="27"/>
      <c r="R131" s="27"/>
      <c r="S131" s="8"/>
      <c r="T131" s="8">
        <f>IFERROR(INDEX('02_Схемы оплаты'!$C$4:$C$19,MATCH($C131&amp;"|"&amp;$G131,'02_Схемы оплаты'!$H$4:$H$19,0)),0)</f>
        <v>0</v>
      </c>
      <c r="U131" s="11"/>
      <c r="V131" s="28"/>
      <c r="W131" s="8"/>
      <c r="X131" s="8">
        <f>IFERROR(INDEX('02_Схемы оплаты'!$D$4:$D$19,MATCH($C131&amp;"|"&amp;$G131,'02_Схемы оплаты'!$H$4:$H$19,0)),0)</f>
        <v>0</v>
      </c>
      <c r="Y131" s="11"/>
      <c r="Z131" s="28"/>
      <c r="AA131" s="8"/>
      <c r="AB131" s="8">
        <f>IFERROR(INDEX('02_Схемы оплаты'!$E$4:$E$19,MATCH($C131&amp;"|"&amp;$G131,'02_Схемы оплаты'!$H$4:$H$19,0)),0)</f>
        <v>0</v>
      </c>
      <c r="AC131" s="11"/>
      <c r="AD131" s="28"/>
      <c r="AE131" s="8"/>
      <c r="AF131" s="10"/>
      <c r="AG131" s="10"/>
      <c r="AH131" s="25">
        <f>IFERROR(SUMIFS('04_Потребность'!$D$4:$D$103,'04_Потребность'!$A$4:$A$103,A131,'04_Потребность'!$C$4:$C$103,B131),0)</f>
        <v>0</v>
      </c>
      <c r="AI131" s="26" t="str">
        <f>IF(OR(A131="",B131=""),"",IFERROR(SUMIFS('04_Потребность'!$E$4:$E$103,'04_Потребность'!$A$4:$A$103,A131,'04_Потребность'!$C$4:$C$103,B131),0))</f>
        <v/>
      </c>
      <c r="AJ131" s="25" t="str">
        <f>IF(OR(A131="",B131=""),"",IFERROR(SUMIFS('04_Потребность'!$F$4:$F$103,'04_Потребность'!$A$4:$A$103,A131,'04_Потребность'!$C$4:$C$103,B131),0))</f>
        <v/>
      </c>
      <c r="AK131" s="29" t="str">
        <f>IF(OR(A131="",B131=""),"",IFERROR(SUMIFS('04_Потребность'!$G$4:$G$103,'04_Потребность'!$A$4:$A$103,A131,'04_Потребность'!$C$4:$C$103,B131),0))</f>
        <v/>
      </c>
      <c r="AL131" s="25" t="str">
        <f>IF('03_Настройки'!$B$7="Нет","Нет",IF(COUNTIFS('04_Потребность'!$A$4:$A$103,A131,'04_Потребность'!$C$4:$C$103,B131,'04_Потребность'!$H$4:$H$103,"Да")&gt;0,"Да","Нет"))</f>
        <v>Нет</v>
      </c>
      <c r="AM131" s="30">
        <f t="shared" si="60"/>
        <v>0</v>
      </c>
      <c r="AN131" s="30">
        <f t="shared" si="61"/>
        <v>0</v>
      </c>
      <c r="AO131" s="29">
        <f t="shared" si="62"/>
        <v>0</v>
      </c>
      <c r="AP131" s="29">
        <f t="shared" si="63"/>
        <v>0</v>
      </c>
      <c r="AQ131" s="29">
        <f t="shared" si="64"/>
        <v>0</v>
      </c>
      <c r="AR131" s="29">
        <f>IFERROR(E131*'03_Настройки'!$B$4/365*(IF(T131&gt;0,T131*V131*(1+W131)*MAX(0,N131-U131),0)+IF(X131&gt;0,X131*Z131*(1+AA131)*MAX(0,N131-Y131),0)+IF(AB131&gt;0,AB131*AD131*(1+AE131)*MAX(0,N131-AC131),0)),0)</f>
        <v>0</v>
      </c>
      <c r="AS131" s="29">
        <f t="shared" si="65"/>
        <v>0</v>
      </c>
      <c r="AT131" s="31">
        <f t="shared" si="66"/>
        <v>0</v>
      </c>
      <c r="AU131" s="31">
        <f t="shared" si="67"/>
        <v>0</v>
      </c>
      <c r="AV131" s="32">
        <f t="shared" si="68"/>
        <v>0</v>
      </c>
      <c r="AW131" s="29" t="e">
        <f t="shared" si="69"/>
        <v>#VALUE!</v>
      </c>
      <c r="AX131" s="29">
        <f t="shared" si="70"/>
        <v>0</v>
      </c>
      <c r="AY131" s="29" t="e">
        <f t="shared" si="71"/>
        <v>#VALUE!</v>
      </c>
      <c r="AZ131" s="25" t="str">
        <f>IF(AND(A131&lt;&gt;"",B131&lt;&gt;"",C131&lt;&gt;"",D131&gt;0,E131&gt;0,N131&lt;&gt;"",AH131&gt;0,O131="Да",P131="Да",BZ131="ПОЛНО",ABS(AN131-1)&lt;='03_Настройки'!$B$5,IF(T131&gt;0,AND(U131&lt;&gt;"",V131&gt;0),TRUE()),IF(X131&gt;0,AND(Y131&lt;&gt;"",Z131&gt;0),TRUE()),IF(AB131&gt;0,AND(AC131&lt;&gt;"",AD131&gt;0),TRUE()),OR(BM131="",BM131="Активна")),"Да","Нет")</f>
        <v>Нет</v>
      </c>
      <c r="BA131" s="25" t="str">
        <f t="shared" si="72"/>
        <v>Нет</v>
      </c>
      <c r="BB131" s="25" t="str">
        <f t="shared" si="73"/>
        <v/>
      </c>
      <c r="BC131" s="25" t="str">
        <f t="shared" si="74"/>
        <v/>
      </c>
      <c r="BD131" s="25" t="str">
        <f t="shared" si="75"/>
        <v/>
      </c>
      <c r="BE131" s="25" t="str">
        <f>IF(A131="","",IF(BZ131&lt;&gt;"ПОЛНО","BLOCK: неполная форма",IF(O131&lt;&gt;"Да","BLOCK: ввоз не разрешён",IF(P131&lt;&gt;"Да","BLOCK: документы не подтверждены",IF(ABS(AN131-1)&gt;'03_Настройки'!$B$5,"BLOCK: платежи не 100%",IF(AND(BM131&lt;&gt;"",BM131&lt;&gt;"Активна"),"BLOCK: позиция "&amp;BM131,IF(BA131&lt;&gt;"Да","PARTIAL: не покрывает потребность",IF(BB131="ДА","самый дешёвый"&amp;IF(BC131="ДА"," + быстрый","")&amp;IF(BD131="ДА"," + optimal",""),IF(BC131="ДА","самый быстрый"&amp;IF(BD131="ДА"," + optimal",""),IF(BD131="ДА","optimal","Допущен"))))))))))</f>
        <v/>
      </c>
      <c r="BF131" s="25">
        <f>ROW()</f>
        <v>131</v>
      </c>
      <c r="BG131" s="33"/>
      <c r="BH131" s="33"/>
      <c r="BI131" s="33"/>
      <c r="BJ131" s="33"/>
      <c r="BK131" s="33"/>
      <c r="BL131" s="34"/>
      <c r="BM131" s="33"/>
      <c r="BN131" s="35" t="str">
        <f t="shared" si="76"/>
        <v/>
      </c>
      <c r="BO131" s="36" t="str">
        <f t="shared" si="77"/>
        <v/>
      </c>
      <c r="BP131" s="33"/>
      <c r="BQ131" s="38"/>
      <c r="BR131" s="13"/>
      <c r="BS131" s="13"/>
      <c r="BT131" s="13"/>
      <c r="BU131" s="13"/>
      <c r="BV131" s="13"/>
      <c r="BW131" s="13"/>
      <c r="BX131" s="39" t="str">
        <f t="shared" si="78"/>
        <v/>
      </c>
      <c r="BY131" s="47"/>
      <c r="BZ131" s="48" t="str">
        <f t="shared" si="79"/>
        <v/>
      </c>
      <c r="CA131" s="47"/>
      <c r="CB131" s="47"/>
      <c r="CC131" s="47"/>
    </row>
    <row r="132" spans="1:81" ht="14.25" x14ac:dyDescent="0.45">
      <c r="A132" s="10"/>
      <c r="B132" s="10"/>
      <c r="C132" s="10"/>
      <c r="D132" s="10"/>
      <c r="E132" s="10"/>
      <c r="F132" s="10"/>
      <c r="G132" s="10"/>
      <c r="H132" s="25" t="str">
        <f>IFERROR(VLOOKUP(C132,'01_Поставщики'!$A$4:$M$11,2,FALSE()),"")</f>
        <v/>
      </c>
      <c r="I132" s="10"/>
      <c r="J132" s="25" t="str">
        <f>IFERROR(VLOOKUP(C132,'01_Поставщики'!$A$4:$M$11,8,FALSE()),"")</f>
        <v/>
      </c>
      <c r="K132" s="25" t="str">
        <f>IFERROR(VLOOKUP(C132,'01_Поставщики'!$A$4:$M$11,4,FALSE()),"")</f>
        <v/>
      </c>
      <c r="L132" s="25" t="str">
        <f>IFERROR(VLOOKUP(C132,'01_Поставщики'!$A$4:$M$11,10,FALSE()),"")</f>
        <v/>
      </c>
      <c r="M132" s="26" t="str">
        <f>IF(OR(A132="",B132=""),"",IFERROR(SUMIFS('04_Потребность'!$B$4:$B$103,'04_Потребность'!$A$4:$A$103,A132,'04_Потребность'!$C$4:$C$103,B132),0))</f>
        <v/>
      </c>
      <c r="N132" s="11"/>
      <c r="O132" s="10"/>
      <c r="P132" s="10"/>
      <c r="Q132" s="27"/>
      <c r="R132" s="27"/>
      <c r="S132" s="8"/>
      <c r="T132" s="8">
        <f>IFERROR(INDEX('02_Схемы оплаты'!$C$4:$C$19,MATCH($C132&amp;"|"&amp;$G132,'02_Схемы оплаты'!$H$4:$H$19,0)),0)</f>
        <v>0</v>
      </c>
      <c r="U132" s="11"/>
      <c r="V132" s="28"/>
      <c r="W132" s="8"/>
      <c r="X132" s="8">
        <f>IFERROR(INDEX('02_Схемы оплаты'!$D$4:$D$19,MATCH($C132&amp;"|"&amp;$G132,'02_Схемы оплаты'!$H$4:$H$19,0)),0)</f>
        <v>0</v>
      </c>
      <c r="Y132" s="11"/>
      <c r="Z132" s="28"/>
      <c r="AA132" s="8"/>
      <c r="AB132" s="8">
        <f>IFERROR(INDEX('02_Схемы оплаты'!$E$4:$E$19,MATCH($C132&amp;"|"&amp;$G132,'02_Схемы оплаты'!$H$4:$H$19,0)),0)</f>
        <v>0</v>
      </c>
      <c r="AC132" s="11"/>
      <c r="AD132" s="28"/>
      <c r="AE132" s="8"/>
      <c r="AF132" s="10"/>
      <c r="AG132" s="10"/>
      <c r="AH132" s="25">
        <f>IFERROR(SUMIFS('04_Потребность'!$D$4:$D$103,'04_Потребность'!$A$4:$A$103,A132,'04_Потребность'!$C$4:$C$103,B132),0)</f>
        <v>0</v>
      </c>
      <c r="AI132" s="26" t="str">
        <f>IF(OR(A132="",B132=""),"",IFERROR(SUMIFS('04_Потребность'!$E$4:$E$103,'04_Потребность'!$A$4:$A$103,A132,'04_Потребность'!$C$4:$C$103,B132),0))</f>
        <v/>
      </c>
      <c r="AJ132" s="25" t="str">
        <f>IF(OR(A132="",B132=""),"",IFERROR(SUMIFS('04_Потребность'!$F$4:$F$103,'04_Потребность'!$A$4:$A$103,A132,'04_Потребность'!$C$4:$C$103,B132),0))</f>
        <v/>
      </c>
      <c r="AK132" s="29" t="str">
        <f>IF(OR(A132="",B132=""),"",IFERROR(SUMIFS('04_Потребность'!$G$4:$G$103,'04_Потребность'!$A$4:$A$103,A132,'04_Потребность'!$C$4:$C$103,B132),0))</f>
        <v/>
      </c>
      <c r="AL132" s="25" t="str">
        <f>IF('03_Настройки'!$B$7="Нет","Нет",IF(COUNTIFS('04_Потребность'!$A$4:$A$103,A132,'04_Потребность'!$C$4:$C$103,B132,'04_Потребность'!$H$4:$H$103,"Да")&gt;0,"Да","Нет"))</f>
        <v>Нет</v>
      </c>
      <c r="AM132" s="30">
        <f t="shared" ref="AM132:AM163" si="80">IFERROR(MIN(1,D132/AH132),0)</f>
        <v>0</v>
      </c>
      <c r="AN132" s="30">
        <f t="shared" ref="AN132:AN163" si="81">SUM(T132,X132,AB132)</f>
        <v>0</v>
      </c>
      <c r="AO132" s="29">
        <f t="shared" ref="AO132:AO163" si="82">IFERROR(E132*(T132*V132*(1+W132)+X132*Z132*(1+AA132)+AB132*AD132*(1+AE132)),0)</f>
        <v>0</v>
      </c>
      <c r="AP132" s="29">
        <f t="shared" ref="AP132:AP163" si="83">AO132*S132</f>
        <v>0</v>
      </c>
      <c r="AQ132" s="29">
        <f t="shared" ref="AQ132:AQ163" si="84">AO132+AP132+Q132+R132</f>
        <v>0</v>
      </c>
      <c r="AR132" s="29">
        <f>IFERROR(E132*'03_Настройки'!$B$4/365*(IF(T132&gt;0,T132*V132*(1+W132)*MAX(0,N132-U132),0)+IF(X132&gt;0,X132*Z132*(1+AA132)*MAX(0,N132-Y132),0)+IF(AB132&gt;0,AB132*AD132*(1+AE132)*MAX(0,N132-AC132),0)),0)</f>
        <v>0</v>
      </c>
      <c r="AS132" s="29">
        <f t="shared" ref="AS132:AS163" si="85">AQ132+AR132</f>
        <v>0</v>
      </c>
      <c r="AT132" s="31">
        <f t="shared" ref="AT132:AT163" si="86">IFERROR(MAX(0,N132-M132),0)</f>
        <v>0</v>
      </c>
      <c r="AU132" s="31">
        <f t="shared" ref="AU132:AU163" si="87">IFERROR(MAX(0,N132-AI132),0)</f>
        <v>0</v>
      </c>
      <c r="AV132" s="32">
        <f t="shared" ref="AV132:AV163" si="88">IF(AL132="Да",MIN(AH132,AJ132*AU132),0)</f>
        <v>0</v>
      </c>
      <c r="AW132" s="29" t="e">
        <f t="shared" ref="AW132:AW163" si="89">AV132*AK132</f>
        <v>#VALUE!</v>
      </c>
      <c r="AX132" s="29">
        <f t="shared" ref="AX132:AX163" si="90">AS132*AH132</f>
        <v>0</v>
      </c>
      <c r="AY132" s="29" t="e">
        <f t="shared" ref="AY132:AY163" si="91">AX132+AW132</f>
        <v>#VALUE!</v>
      </c>
      <c r="AZ132" s="25" t="str">
        <f>IF(AND(A132&lt;&gt;"",B132&lt;&gt;"",C132&lt;&gt;"",D132&gt;0,E132&gt;0,N132&lt;&gt;"",AH132&gt;0,O132="Да",P132="Да",BZ132="ПОЛНО",ABS(AN132-1)&lt;='03_Настройки'!$B$5,IF(T132&gt;0,AND(U132&lt;&gt;"",V132&gt;0),TRUE()),IF(X132&gt;0,AND(Y132&lt;&gt;"",Z132&gt;0),TRUE()),IF(AB132&gt;0,AND(AC132&lt;&gt;"",AD132&gt;0),TRUE()),OR(BM132="",BM132="Активна")),"Да","Нет")</f>
        <v>Нет</v>
      </c>
      <c r="BA132" s="25" t="str">
        <f t="shared" ref="BA132:BA163" si="92">IF(AM132&gt;=1,"Да","Нет")</f>
        <v>Нет</v>
      </c>
      <c r="BB132" s="25" t="str">
        <f t="shared" ref="BB132:BB163" si="93">IF(AND(AZ132="Да",BA132="Да",COUNTIFS($A$4:$A$203,A132,$B$4:$B$203,B132,$AZ$4:$AZ$203,"Да",$BA$4:$BA$203,"Да",$AX$4:$AX$203,"&lt;"&amp;AX132)=0,COUNTIFS($A$4:$A$203,A132,$B$4:$B$203,B132,$AZ$4:$AZ$203,"Да",$BA$4:$BA$203,"Да",$AX$4:$AX$203,"="&amp;AX132,$BF$4:$BF$203,"&lt;"&amp;BF132)=0),"ДА","")</f>
        <v/>
      </c>
      <c r="BC132" s="25" t="str">
        <f t="shared" ref="BC132:BC163" si="94">IF(AND(AZ132="Да",BA132="Да",COUNTIFS($A$4:$A$203,A132,$B$4:$B$203,B132,$AZ$4:$AZ$203,"Да",$BA$4:$BA$203,"Да",$N$4:$N$203,"&lt;"&amp;N132)=0,COUNTIFS($A$4:$A$203,A132,$B$4:$B$203,B132,$AZ$4:$AZ$203,"Да",$BA$4:$BA$203,"Да",$N$4:$N$203,"="&amp;N132,$BF$4:$BF$203,"&lt;"&amp;BF132)=0),"ДА","")</f>
        <v/>
      </c>
      <c r="BD132" s="25" t="str">
        <f t="shared" ref="BD132:BD163" si="95">IF(AND(AZ132="Да",BA132="Да",COUNTIFS($A$4:$A$203,A132,$B$4:$B$203,B132,$AZ$4:$AZ$203,"Да",$BA$4:$BA$203,"Да",$AY$4:$AY$203,"&lt;"&amp;AY132)=0,COUNTIFS($A$4:$A$203,A132,$B$4:$B$203,B132,$AZ$4:$AZ$203,"Да",$BA$4:$BA$203,"Да",$AY$4:$AY$203,"="&amp;AY132,$BF$4:$BF$203,"&lt;"&amp;BF132)=0),"ДА","")</f>
        <v/>
      </c>
      <c r="BE132" s="25" t="str">
        <f>IF(A132="","",IF(BZ132&lt;&gt;"ПОЛНО","BLOCK: неполная форма",IF(O132&lt;&gt;"Да","BLOCK: ввоз не разрешён",IF(P132&lt;&gt;"Да","BLOCK: документы не подтверждены",IF(ABS(AN132-1)&gt;'03_Настройки'!$B$5,"BLOCK: платежи не 100%",IF(AND(BM132&lt;&gt;"",BM132&lt;&gt;"Активна"),"BLOCK: позиция "&amp;BM132,IF(BA132&lt;&gt;"Да","PARTIAL: не покрывает потребность",IF(BB132="ДА","самый дешёвый"&amp;IF(BC132="ДА"," + быстрый","")&amp;IF(BD132="ДА"," + optimal",""),IF(BC132="ДА","самый быстрый"&amp;IF(BD132="ДА"," + optimal",""),IF(BD132="ДА","optimal","Допущен"))))))))))</f>
        <v/>
      </c>
      <c r="BF132" s="25">
        <f>ROW()</f>
        <v>132</v>
      </c>
      <c r="BG132" s="33"/>
      <c r="BH132" s="33"/>
      <c r="BI132" s="33"/>
      <c r="BJ132" s="33"/>
      <c r="BK132" s="33"/>
      <c r="BL132" s="34"/>
      <c r="BM132" s="33"/>
      <c r="BN132" s="35" t="str">
        <f t="shared" ref="BN132:BN163" si="96">IF(BG132+BH132=0,"",IF(BG132+BH132&lt;&gt;D132,"⚠ SIM+eSIM≠Доступно","OK"))</f>
        <v/>
      </c>
      <c r="BO132" s="36" t="str">
        <f t="shared" ref="BO132:BO163" si="97">IF($C132="","",IF(TRIM(IF(O132&lt;&gt;"Да","⚠Ввоз ","")&amp;IF(P132&lt;&gt;"Да","⚠Документы ","")&amp;IF(AND(BG132+BH132&gt;0,D132&gt;0,BG132+BH132&lt;&gt;D132),"⚠SIM/eSIM ","")&amp;IF(BZ132&lt;&gt;"ПОЛНО","⚠НеполнаяФорма ",""))="","OK",TRIM(IF(O132&lt;&gt;"Да","⚠Ввоз ","")&amp;IF(P132&lt;&gt;"Да","⚠Документы ","")&amp;IF(AND(BG132+BH132&gt;0,D132&gt;0,BG132+BH132&lt;&gt;D132),"⚠SIM/eSIM ","")&amp;IF(BZ132&lt;&gt;"ПОЛНО","⚠НеполнаяФорма ",""))))</f>
        <v/>
      </c>
      <c r="BP132" s="33"/>
      <c r="BQ132" s="38"/>
      <c r="BR132" s="13"/>
      <c r="BS132" s="13"/>
      <c r="BT132" s="13"/>
      <c r="BU132" s="13"/>
      <c r="BV132" s="13"/>
      <c r="BW132" s="13"/>
      <c r="BX132" s="39" t="str">
        <f t="shared" ref="BX132:BX163" si="98">IF(OR(BV132&lt;&gt;"",BW132&lt;&gt;""),"Да","")</f>
        <v/>
      </c>
      <c r="BY132" s="47"/>
      <c r="BZ132" s="48" t="str">
        <f t="shared" ref="BZ132:BZ163" si="99">IF(A132="","",IF(AND(BT132&lt;&gt;"",BJ132&lt;&gt;"",CA132&lt;&gt;"",BK132&lt;&gt;"",OR(BG132&lt;&gt;"",BH132&lt;&gt;""),BM132&lt;&gt;""),"ПОЛНО","НЕПОЛНО"))</f>
        <v/>
      </c>
      <c r="CA132" s="47"/>
      <c r="CB132" s="47"/>
      <c r="CC132" s="47"/>
    </row>
    <row r="133" spans="1:81" ht="14.25" x14ac:dyDescent="0.45">
      <c r="A133" s="10"/>
      <c r="B133" s="10"/>
      <c r="C133" s="10"/>
      <c r="D133" s="10"/>
      <c r="E133" s="10"/>
      <c r="F133" s="10"/>
      <c r="G133" s="10"/>
      <c r="H133" s="25" t="str">
        <f>IFERROR(VLOOKUP(C133,'01_Поставщики'!$A$4:$M$11,2,FALSE()),"")</f>
        <v/>
      </c>
      <c r="I133" s="10"/>
      <c r="J133" s="25" t="str">
        <f>IFERROR(VLOOKUP(C133,'01_Поставщики'!$A$4:$M$11,8,FALSE()),"")</f>
        <v/>
      </c>
      <c r="K133" s="25" t="str">
        <f>IFERROR(VLOOKUP(C133,'01_Поставщики'!$A$4:$M$11,4,FALSE()),"")</f>
        <v/>
      </c>
      <c r="L133" s="25" t="str">
        <f>IFERROR(VLOOKUP(C133,'01_Поставщики'!$A$4:$M$11,10,FALSE()),"")</f>
        <v/>
      </c>
      <c r="M133" s="26" t="str">
        <f>IF(OR(A133="",B133=""),"",IFERROR(SUMIFS('04_Потребность'!$B$4:$B$103,'04_Потребность'!$A$4:$A$103,A133,'04_Потребность'!$C$4:$C$103,B133),0))</f>
        <v/>
      </c>
      <c r="N133" s="11"/>
      <c r="O133" s="10"/>
      <c r="P133" s="10"/>
      <c r="Q133" s="27"/>
      <c r="R133" s="27"/>
      <c r="S133" s="8"/>
      <c r="T133" s="8">
        <f>IFERROR(INDEX('02_Схемы оплаты'!$C$4:$C$19,MATCH($C133&amp;"|"&amp;$G133,'02_Схемы оплаты'!$H$4:$H$19,0)),0)</f>
        <v>0</v>
      </c>
      <c r="U133" s="11"/>
      <c r="V133" s="28"/>
      <c r="W133" s="8"/>
      <c r="X133" s="8">
        <f>IFERROR(INDEX('02_Схемы оплаты'!$D$4:$D$19,MATCH($C133&amp;"|"&amp;$G133,'02_Схемы оплаты'!$H$4:$H$19,0)),0)</f>
        <v>0</v>
      </c>
      <c r="Y133" s="11"/>
      <c r="Z133" s="28"/>
      <c r="AA133" s="8"/>
      <c r="AB133" s="8">
        <f>IFERROR(INDEX('02_Схемы оплаты'!$E$4:$E$19,MATCH($C133&amp;"|"&amp;$G133,'02_Схемы оплаты'!$H$4:$H$19,0)),0)</f>
        <v>0</v>
      </c>
      <c r="AC133" s="11"/>
      <c r="AD133" s="28"/>
      <c r="AE133" s="8"/>
      <c r="AF133" s="10"/>
      <c r="AG133" s="10"/>
      <c r="AH133" s="25">
        <f>IFERROR(SUMIFS('04_Потребность'!$D$4:$D$103,'04_Потребность'!$A$4:$A$103,A133,'04_Потребность'!$C$4:$C$103,B133),0)</f>
        <v>0</v>
      </c>
      <c r="AI133" s="26" t="str">
        <f>IF(OR(A133="",B133=""),"",IFERROR(SUMIFS('04_Потребность'!$E$4:$E$103,'04_Потребность'!$A$4:$A$103,A133,'04_Потребность'!$C$4:$C$103,B133),0))</f>
        <v/>
      </c>
      <c r="AJ133" s="25" t="str">
        <f>IF(OR(A133="",B133=""),"",IFERROR(SUMIFS('04_Потребность'!$F$4:$F$103,'04_Потребность'!$A$4:$A$103,A133,'04_Потребность'!$C$4:$C$103,B133),0))</f>
        <v/>
      </c>
      <c r="AK133" s="29" t="str">
        <f>IF(OR(A133="",B133=""),"",IFERROR(SUMIFS('04_Потребность'!$G$4:$G$103,'04_Потребность'!$A$4:$A$103,A133,'04_Потребность'!$C$4:$C$103,B133),0))</f>
        <v/>
      </c>
      <c r="AL133" s="25" t="str">
        <f>IF('03_Настройки'!$B$7="Нет","Нет",IF(COUNTIFS('04_Потребность'!$A$4:$A$103,A133,'04_Потребность'!$C$4:$C$103,B133,'04_Потребность'!$H$4:$H$103,"Да")&gt;0,"Да","Нет"))</f>
        <v>Нет</v>
      </c>
      <c r="AM133" s="30">
        <f t="shared" si="80"/>
        <v>0</v>
      </c>
      <c r="AN133" s="30">
        <f t="shared" si="81"/>
        <v>0</v>
      </c>
      <c r="AO133" s="29">
        <f t="shared" si="82"/>
        <v>0</v>
      </c>
      <c r="AP133" s="29">
        <f t="shared" si="83"/>
        <v>0</v>
      </c>
      <c r="AQ133" s="29">
        <f t="shared" si="84"/>
        <v>0</v>
      </c>
      <c r="AR133" s="29">
        <f>IFERROR(E133*'03_Настройки'!$B$4/365*(IF(T133&gt;0,T133*V133*(1+W133)*MAX(0,N133-U133),0)+IF(X133&gt;0,X133*Z133*(1+AA133)*MAX(0,N133-Y133),0)+IF(AB133&gt;0,AB133*AD133*(1+AE133)*MAX(0,N133-AC133),0)),0)</f>
        <v>0</v>
      </c>
      <c r="AS133" s="29">
        <f t="shared" si="85"/>
        <v>0</v>
      </c>
      <c r="AT133" s="31">
        <f t="shared" si="86"/>
        <v>0</v>
      </c>
      <c r="AU133" s="31">
        <f t="shared" si="87"/>
        <v>0</v>
      </c>
      <c r="AV133" s="32">
        <f t="shared" si="88"/>
        <v>0</v>
      </c>
      <c r="AW133" s="29" t="e">
        <f t="shared" si="89"/>
        <v>#VALUE!</v>
      </c>
      <c r="AX133" s="29">
        <f t="shared" si="90"/>
        <v>0</v>
      </c>
      <c r="AY133" s="29" t="e">
        <f t="shared" si="91"/>
        <v>#VALUE!</v>
      </c>
      <c r="AZ133" s="25" t="str">
        <f>IF(AND(A133&lt;&gt;"",B133&lt;&gt;"",C133&lt;&gt;"",D133&gt;0,E133&gt;0,N133&lt;&gt;"",AH133&gt;0,O133="Да",P133="Да",BZ133="ПОЛНО",ABS(AN133-1)&lt;='03_Настройки'!$B$5,IF(T133&gt;0,AND(U133&lt;&gt;"",V133&gt;0),TRUE()),IF(X133&gt;0,AND(Y133&lt;&gt;"",Z133&gt;0),TRUE()),IF(AB133&gt;0,AND(AC133&lt;&gt;"",AD133&gt;0),TRUE()),OR(BM133="",BM133="Активна")),"Да","Нет")</f>
        <v>Нет</v>
      </c>
      <c r="BA133" s="25" t="str">
        <f t="shared" si="92"/>
        <v>Нет</v>
      </c>
      <c r="BB133" s="25" t="str">
        <f t="shared" si="93"/>
        <v/>
      </c>
      <c r="BC133" s="25" t="str">
        <f t="shared" si="94"/>
        <v/>
      </c>
      <c r="BD133" s="25" t="str">
        <f t="shared" si="95"/>
        <v/>
      </c>
      <c r="BE133" s="25" t="str">
        <f>IF(A133="","",IF(BZ133&lt;&gt;"ПОЛНО","BLOCK: неполная форма",IF(O133&lt;&gt;"Да","BLOCK: ввоз не разрешён",IF(P133&lt;&gt;"Да","BLOCK: документы не подтверждены",IF(ABS(AN133-1)&gt;'03_Настройки'!$B$5,"BLOCK: платежи не 100%",IF(AND(BM133&lt;&gt;"",BM133&lt;&gt;"Активна"),"BLOCK: позиция "&amp;BM133,IF(BA133&lt;&gt;"Да","PARTIAL: не покрывает потребность",IF(BB133="ДА","самый дешёвый"&amp;IF(BC133="ДА"," + быстрый","")&amp;IF(BD133="ДА"," + optimal",""),IF(BC133="ДА","самый быстрый"&amp;IF(BD133="ДА"," + optimal",""),IF(BD133="ДА","optimal","Допущен"))))))))))</f>
        <v/>
      </c>
      <c r="BF133" s="25">
        <f>ROW()</f>
        <v>133</v>
      </c>
      <c r="BG133" s="33"/>
      <c r="BH133" s="33"/>
      <c r="BI133" s="33"/>
      <c r="BJ133" s="33"/>
      <c r="BK133" s="33"/>
      <c r="BL133" s="34"/>
      <c r="BM133" s="33"/>
      <c r="BN133" s="35" t="str">
        <f t="shared" si="96"/>
        <v/>
      </c>
      <c r="BO133" s="36" t="str">
        <f t="shared" si="97"/>
        <v/>
      </c>
      <c r="BP133" s="33"/>
      <c r="BQ133" s="38"/>
      <c r="BR133" s="13"/>
      <c r="BS133" s="13"/>
      <c r="BT133" s="13"/>
      <c r="BU133" s="13"/>
      <c r="BV133" s="13"/>
      <c r="BW133" s="13"/>
      <c r="BX133" s="39" t="str">
        <f t="shared" si="98"/>
        <v/>
      </c>
      <c r="BY133" s="47"/>
      <c r="BZ133" s="48" t="str">
        <f t="shared" si="99"/>
        <v/>
      </c>
      <c r="CA133" s="47"/>
      <c r="CB133" s="47"/>
      <c r="CC133" s="47"/>
    </row>
    <row r="134" spans="1:81" ht="14.25" x14ac:dyDescent="0.45">
      <c r="A134" s="10"/>
      <c r="B134" s="10"/>
      <c r="C134" s="10"/>
      <c r="D134" s="10"/>
      <c r="E134" s="10"/>
      <c r="F134" s="10"/>
      <c r="G134" s="10"/>
      <c r="H134" s="25" t="str">
        <f>IFERROR(VLOOKUP(C134,'01_Поставщики'!$A$4:$M$11,2,FALSE()),"")</f>
        <v/>
      </c>
      <c r="I134" s="10"/>
      <c r="J134" s="25" t="str">
        <f>IFERROR(VLOOKUP(C134,'01_Поставщики'!$A$4:$M$11,8,FALSE()),"")</f>
        <v/>
      </c>
      <c r="K134" s="25" t="str">
        <f>IFERROR(VLOOKUP(C134,'01_Поставщики'!$A$4:$M$11,4,FALSE()),"")</f>
        <v/>
      </c>
      <c r="L134" s="25" t="str">
        <f>IFERROR(VLOOKUP(C134,'01_Поставщики'!$A$4:$M$11,10,FALSE()),"")</f>
        <v/>
      </c>
      <c r="M134" s="26" t="str">
        <f>IF(OR(A134="",B134=""),"",IFERROR(SUMIFS('04_Потребность'!$B$4:$B$103,'04_Потребность'!$A$4:$A$103,A134,'04_Потребность'!$C$4:$C$103,B134),0))</f>
        <v/>
      </c>
      <c r="N134" s="11"/>
      <c r="O134" s="10"/>
      <c r="P134" s="10"/>
      <c r="Q134" s="27"/>
      <c r="R134" s="27"/>
      <c r="S134" s="8"/>
      <c r="T134" s="8">
        <f>IFERROR(INDEX('02_Схемы оплаты'!$C$4:$C$19,MATCH($C134&amp;"|"&amp;$G134,'02_Схемы оплаты'!$H$4:$H$19,0)),0)</f>
        <v>0</v>
      </c>
      <c r="U134" s="11"/>
      <c r="V134" s="28"/>
      <c r="W134" s="8"/>
      <c r="X134" s="8">
        <f>IFERROR(INDEX('02_Схемы оплаты'!$D$4:$D$19,MATCH($C134&amp;"|"&amp;$G134,'02_Схемы оплаты'!$H$4:$H$19,0)),0)</f>
        <v>0</v>
      </c>
      <c r="Y134" s="11"/>
      <c r="Z134" s="28"/>
      <c r="AA134" s="8"/>
      <c r="AB134" s="8">
        <f>IFERROR(INDEX('02_Схемы оплаты'!$E$4:$E$19,MATCH($C134&amp;"|"&amp;$G134,'02_Схемы оплаты'!$H$4:$H$19,0)),0)</f>
        <v>0</v>
      </c>
      <c r="AC134" s="11"/>
      <c r="AD134" s="28"/>
      <c r="AE134" s="8"/>
      <c r="AF134" s="10"/>
      <c r="AG134" s="10"/>
      <c r="AH134" s="25">
        <f>IFERROR(SUMIFS('04_Потребность'!$D$4:$D$103,'04_Потребность'!$A$4:$A$103,A134,'04_Потребность'!$C$4:$C$103,B134),0)</f>
        <v>0</v>
      </c>
      <c r="AI134" s="26" t="str">
        <f>IF(OR(A134="",B134=""),"",IFERROR(SUMIFS('04_Потребность'!$E$4:$E$103,'04_Потребность'!$A$4:$A$103,A134,'04_Потребность'!$C$4:$C$103,B134),0))</f>
        <v/>
      </c>
      <c r="AJ134" s="25" t="str">
        <f>IF(OR(A134="",B134=""),"",IFERROR(SUMIFS('04_Потребность'!$F$4:$F$103,'04_Потребность'!$A$4:$A$103,A134,'04_Потребность'!$C$4:$C$103,B134),0))</f>
        <v/>
      </c>
      <c r="AK134" s="29" t="str">
        <f>IF(OR(A134="",B134=""),"",IFERROR(SUMIFS('04_Потребность'!$G$4:$G$103,'04_Потребность'!$A$4:$A$103,A134,'04_Потребность'!$C$4:$C$103,B134),0))</f>
        <v/>
      </c>
      <c r="AL134" s="25" t="str">
        <f>IF('03_Настройки'!$B$7="Нет","Нет",IF(COUNTIFS('04_Потребность'!$A$4:$A$103,A134,'04_Потребность'!$C$4:$C$103,B134,'04_Потребность'!$H$4:$H$103,"Да")&gt;0,"Да","Нет"))</f>
        <v>Нет</v>
      </c>
      <c r="AM134" s="30">
        <f t="shared" si="80"/>
        <v>0</v>
      </c>
      <c r="AN134" s="30">
        <f t="shared" si="81"/>
        <v>0</v>
      </c>
      <c r="AO134" s="29">
        <f t="shared" si="82"/>
        <v>0</v>
      </c>
      <c r="AP134" s="29">
        <f t="shared" si="83"/>
        <v>0</v>
      </c>
      <c r="AQ134" s="29">
        <f t="shared" si="84"/>
        <v>0</v>
      </c>
      <c r="AR134" s="29">
        <f>IFERROR(E134*'03_Настройки'!$B$4/365*(IF(T134&gt;0,T134*V134*(1+W134)*MAX(0,N134-U134),0)+IF(X134&gt;0,X134*Z134*(1+AA134)*MAX(0,N134-Y134),0)+IF(AB134&gt;0,AB134*AD134*(1+AE134)*MAX(0,N134-AC134),0)),0)</f>
        <v>0</v>
      </c>
      <c r="AS134" s="29">
        <f t="shared" si="85"/>
        <v>0</v>
      </c>
      <c r="AT134" s="31">
        <f t="shared" si="86"/>
        <v>0</v>
      </c>
      <c r="AU134" s="31">
        <f t="shared" si="87"/>
        <v>0</v>
      </c>
      <c r="AV134" s="32">
        <f t="shared" si="88"/>
        <v>0</v>
      </c>
      <c r="AW134" s="29" t="e">
        <f t="shared" si="89"/>
        <v>#VALUE!</v>
      </c>
      <c r="AX134" s="29">
        <f t="shared" si="90"/>
        <v>0</v>
      </c>
      <c r="AY134" s="29" t="e">
        <f t="shared" si="91"/>
        <v>#VALUE!</v>
      </c>
      <c r="AZ134" s="25" t="str">
        <f>IF(AND(A134&lt;&gt;"",B134&lt;&gt;"",C134&lt;&gt;"",D134&gt;0,E134&gt;0,N134&lt;&gt;"",AH134&gt;0,O134="Да",P134="Да",BZ134="ПОЛНО",ABS(AN134-1)&lt;='03_Настройки'!$B$5,IF(T134&gt;0,AND(U134&lt;&gt;"",V134&gt;0),TRUE()),IF(X134&gt;0,AND(Y134&lt;&gt;"",Z134&gt;0),TRUE()),IF(AB134&gt;0,AND(AC134&lt;&gt;"",AD134&gt;0),TRUE()),OR(BM134="",BM134="Активна")),"Да","Нет")</f>
        <v>Нет</v>
      </c>
      <c r="BA134" s="25" t="str">
        <f t="shared" si="92"/>
        <v>Нет</v>
      </c>
      <c r="BB134" s="25" t="str">
        <f t="shared" si="93"/>
        <v/>
      </c>
      <c r="BC134" s="25" t="str">
        <f t="shared" si="94"/>
        <v/>
      </c>
      <c r="BD134" s="25" t="str">
        <f t="shared" si="95"/>
        <v/>
      </c>
      <c r="BE134" s="25" t="str">
        <f>IF(A134="","",IF(BZ134&lt;&gt;"ПОЛНО","BLOCK: неполная форма",IF(O134&lt;&gt;"Да","BLOCK: ввоз не разрешён",IF(P134&lt;&gt;"Да","BLOCK: документы не подтверждены",IF(ABS(AN134-1)&gt;'03_Настройки'!$B$5,"BLOCK: платежи не 100%",IF(AND(BM134&lt;&gt;"",BM134&lt;&gt;"Активна"),"BLOCK: позиция "&amp;BM134,IF(BA134&lt;&gt;"Да","PARTIAL: не покрывает потребность",IF(BB134="ДА","самый дешёвый"&amp;IF(BC134="ДА"," + быстрый","")&amp;IF(BD134="ДА"," + optimal",""),IF(BC134="ДА","самый быстрый"&amp;IF(BD134="ДА"," + optimal",""),IF(BD134="ДА","optimal","Допущен"))))))))))</f>
        <v/>
      </c>
      <c r="BF134" s="25">
        <f>ROW()</f>
        <v>134</v>
      </c>
      <c r="BG134" s="33"/>
      <c r="BH134" s="33"/>
      <c r="BI134" s="33"/>
      <c r="BJ134" s="33"/>
      <c r="BK134" s="33"/>
      <c r="BL134" s="34"/>
      <c r="BM134" s="33"/>
      <c r="BN134" s="35" t="str">
        <f t="shared" si="96"/>
        <v/>
      </c>
      <c r="BO134" s="36" t="str">
        <f t="shared" si="97"/>
        <v/>
      </c>
      <c r="BP134" s="33"/>
      <c r="BQ134" s="38"/>
      <c r="BR134" s="13"/>
      <c r="BS134" s="13"/>
      <c r="BT134" s="13"/>
      <c r="BU134" s="13"/>
      <c r="BV134" s="13"/>
      <c r="BW134" s="13"/>
      <c r="BX134" s="39" t="str">
        <f t="shared" si="98"/>
        <v/>
      </c>
      <c r="BY134" s="47"/>
      <c r="BZ134" s="48" t="str">
        <f t="shared" si="99"/>
        <v/>
      </c>
      <c r="CA134" s="47"/>
      <c r="CB134" s="47"/>
      <c r="CC134" s="47"/>
    </row>
    <row r="135" spans="1:81" ht="14.25" x14ac:dyDescent="0.45">
      <c r="A135" s="10"/>
      <c r="B135" s="10"/>
      <c r="C135" s="10"/>
      <c r="D135" s="10"/>
      <c r="E135" s="10"/>
      <c r="F135" s="10"/>
      <c r="G135" s="10"/>
      <c r="H135" s="25" t="str">
        <f>IFERROR(VLOOKUP(C135,'01_Поставщики'!$A$4:$M$11,2,FALSE()),"")</f>
        <v/>
      </c>
      <c r="I135" s="10"/>
      <c r="J135" s="25" t="str">
        <f>IFERROR(VLOOKUP(C135,'01_Поставщики'!$A$4:$M$11,8,FALSE()),"")</f>
        <v/>
      </c>
      <c r="K135" s="25" t="str">
        <f>IFERROR(VLOOKUP(C135,'01_Поставщики'!$A$4:$M$11,4,FALSE()),"")</f>
        <v/>
      </c>
      <c r="L135" s="25" t="str">
        <f>IFERROR(VLOOKUP(C135,'01_Поставщики'!$A$4:$M$11,10,FALSE()),"")</f>
        <v/>
      </c>
      <c r="M135" s="26" t="str">
        <f>IF(OR(A135="",B135=""),"",IFERROR(SUMIFS('04_Потребность'!$B$4:$B$103,'04_Потребность'!$A$4:$A$103,A135,'04_Потребность'!$C$4:$C$103,B135),0))</f>
        <v/>
      </c>
      <c r="N135" s="11"/>
      <c r="O135" s="10"/>
      <c r="P135" s="10"/>
      <c r="Q135" s="27"/>
      <c r="R135" s="27"/>
      <c r="S135" s="8"/>
      <c r="T135" s="8">
        <f>IFERROR(INDEX('02_Схемы оплаты'!$C$4:$C$19,MATCH($C135&amp;"|"&amp;$G135,'02_Схемы оплаты'!$H$4:$H$19,0)),0)</f>
        <v>0</v>
      </c>
      <c r="U135" s="11"/>
      <c r="V135" s="28"/>
      <c r="W135" s="8"/>
      <c r="X135" s="8">
        <f>IFERROR(INDEX('02_Схемы оплаты'!$D$4:$D$19,MATCH($C135&amp;"|"&amp;$G135,'02_Схемы оплаты'!$H$4:$H$19,0)),0)</f>
        <v>0</v>
      </c>
      <c r="Y135" s="11"/>
      <c r="Z135" s="28"/>
      <c r="AA135" s="8"/>
      <c r="AB135" s="8">
        <f>IFERROR(INDEX('02_Схемы оплаты'!$E$4:$E$19,MATCH($C135&amp;"|"&amp;$G135,'02_Схемы оплаты'!$H$4:$H$19,0)),0)</f>
        <v>0</v>
      </c>
      <c r="AC135" s="11"/>
      <c r="AD135" s="28"/>
      <c r="AE135" s="8"/>
      <c r="AF135" s="10"/>
      <c r="AG135" s="10"/>
      <c r="AH135" s="25">
        <f>IFERROR(SUMIFS('04_Потребность'!$D$4:$D$103,'04_Потребность'!$A$4:$A$103,A135,'04_Потребность'!$C$4:$C$103,B135),0)</f>
        <v>0</v>
      </c>
      <c r="AI135" s="26" t="str">
        <f>IF(OR(A135="",B135=""),"",IFERROR(SUMIFS('04_Потребность'!$E$4:$E$103,'04_Потребность'!$A$4:$A$103,A135,'04_Потребность'!$C$4:$C$103,B135),0))</f>
        <v/>
      </c>
      <c r="AJ135" s="25" t="str">
        <f>IF(OR(A135="",B135=""),"",IFERROR(SUMIFS('04_Потребность'!$F$4:$F$103,'04_Потребность'!$A$4:$A$103,A135,'04_Потребность'!$C$4:$C$103,B135),0))</f>
        <v/>
      </c>
      <c r="AK135" s="29" t="str">
        <f>IF(OR(A135="",B135=""),"",IFERROR(SUMIFS('04_Потребность'!$G$4:$G$103,'04_Потребность'!$A$4:$A$103,A135,'04_Потребность'!$C$4:$C$103,B135),0))</f>
        <v/>
      </c>
      <c r="AL135" s="25" t="str">
        <f>IF('03_Настройки'!$B$7="Нет","Нет",IF(COUNTIFS('04_Потребность'!$A$4:$A$103,A135,'04_Потребность'!$C$4:$C$103,B135,'04_Потребность'!$H$4:$H$103,"Да")&gt;0,"Да","Нет"))</f>
        <v>Нет</v>
      </c>
      <c r="AM135" s="30">
        <f t="shared" si="80"/>
        <v>0</v>
      </c>
      <c r="AN135" s="30">
        <f t="shared" si="81"/>
        <v>0</v>
      </c>
      <c r="AO135" s="29">
        <f t="shared" si="82"/>
        <v>0</v>
      </c>
      <c r="AP135" s="29">
        <f t="shared" si="83"/>
        <v>0</v>
      </c>
      <c r="AQ135" s="29">
        <f t="shared" si="84"/>
        <v>0</v>
      </c>
      <c r="AR135" s="29">
        <f>IFERROR(E135*'03_Настройки'!$B$4/365*(IF(T135&gt;0,T135*V135*(1+W135)*MAX(0,N135-U135),0)+IF(X135&gt;0,X135*Z135*(1+AA135)*MAX(0,N135-Y135),0)+IF(AB135&gt;0,AB135*AD135*(1+AE135)*MAX(0,N135-AC135),0)),0)</f>
        <v>0</v>
      </c>
      <c r="AS135" s="29">
        <f t="shared" si="85"/>
        <v>0</v>
      </c>
      <c r="AT135" s="31">
        <f t="shared" si="86"/>
        <v>0</v>
      </c>
      <c r="AU135" s="31">
        <f t="shared" si="87"/>
        <v>0</v>
      </c>
      <c r="AV135" s="32">
        <f t="shared" si="88"/>
        <v>0</v>
      </c>
      <c r="AW135" s="29" t="e">
        <f t="shared" si="89"/>
        <v>#VALUE!</v>
      </c>
      <c r="AX135" s="29">
        <f t="shared" si="90"/>
        <v>0</v>
      </c>
      <c r="AY135" s="29" t="e">
        <f t="shared" si="91"/>
        <v>#VALUE!</v>
      </c>
      <c r="AZ135" s="25" t="str">
        <f>IF(AND(A135&lt;&gt;"",B135&lt;&gt;"",C135&lt;&gt;"",D135&gt;0,E135&gt;0,N135&lt;&gt;"",AH135&gt;0,O135="Да",P135="Да",BZ135="ПОЛНО",ABS(AN135-1)&lt;='03_Настройки'!$B$5,IF(T135&gt;0,AND(U135&lt;&gt;"",V135&gt;0),TRUE()),IF(X135&gt;0,AND(Y135&lt;&gt;"",Z135&gt;0),TRUE()),IF(AB135&gt;0,AND(AC135&lt;&gt;"",AD135&gt;0),TRUE()),OR(BM135="",BM135="Активна")),"Да","Нет")</f>
        <v>Нет</v>
      </c>
      <c r="BA135" s="25" t="str">
        <f t="shared" si="92"/>
        <v>Нет</v>
      </c>
      <c r="BB135" s="25" t="str">
        <f t="shared" si="93"/>
        <v/>
      </c>
      <c r="BC135" s="25" t="str">
        <f t="shared" si="94"/>
        <v/>
      </c>
      <c r="BD135" s="25" t="str">
        <f t="shared" si="95"/>
        <v/>
      </c>
      <c r="BE135" s="25" t="str">
        <f>IF(A135="","",IF(BZ135&lt;&gt;"ПОЛНО","BLOCK: неполная форма",IF(O135&lt;&gt;"Да","BLOCK: ввоз не разрешён",IF(P135&lt;&gt;"Да","BLOCK: документы не подтверждены",IF(ABS(AN135-1)&gt;'03_Настройки'!$B$5,"BLOCK: платежи не 100%",IF(AND(BM135&lt;&gt;"",BM135&lt;&gt;"Активна"),"BLOCK: позиция "&amp;BM135,IF(BA135&lt;&gt;"Да","PARTIAL: не покрывает потребность",IF(BB135="ДА","самый дешёвый"&amp;IF(BC135="ДА"," + быстрый","")&amp;IF(BD135="ДА"," + optimal",""),IF(BC135="ДА","самый быстрый"&amp;IF(BD135="ДА"," + optimal",""),IF(BD135="ДА","optimal","Допущен"))))))))))</f>
        <v/>
      </c>
      <c r="BF135" s="25">
        <f>ROW()</f>
        <v>135</v>
      </c>
      <c r="BG135" s="33"/>
      <c r="BH135" s="33"/>
      <c r="BI135" s="33"/>
      <c r="BJ135" s="33"/>
      <c r="BK135" s="33"/>
      <c r="BL135" s="34"/>
      <c r="BM135" s="33"/>
      <c r="BN135" s="35" t="str">
        <f t="shared" si="96"/>
        <v/>
      </c>
      <c r="BO135" s="36" t="str">
        <f t="shared" si="97"/>
        <v/>
      </c>
      <c r="BP135" s="33"/>
      <c r="BQ135" s="38"/>
      <c r="BR135" s="13"/>
      <c r="BS135" s="13"/>
      <c r="BT135" s="13"/>
      <c r="BU135" s="13"/>
      <c r="BV135" s="13"/>
      <c r="BW135" s="13"/>
      <c r="BX135" s="39" t="str">
        <f t="shared" si="98"/>
        <v/>
      </c>
      <c r="BY135" s="47"/>
      <c r="BZ135" s="48" t="str">
        <f t="shared" si="99"/>
        <v/>
      </c>
      <c r="CA135" s="47"/>
      <c r="CB135" s="47"/>
      <c r="CC135" s="47"/>
    </row>
    <row r="136" spans="1:81" ht="14.25" x14ac:dyDescent="0.45">
      <c r="A136" s="10"/>
      <c r="B136" s="10"/>
      <c r="C136" s="10"/>
      <c r="D136" s="10"/>
      <c r="E136" s="10"/>
      <c r="F136" s="10"/>
      <c r="G136" s="10"/>
      <c r="H136" s="25" t="str">
        <f>IFERROR(VLOOKUP(C136,'01_Поставщики'!$A$4:$M$11,2,FALSE()),"")</f>
        <v/>
      </c>
      <c r="I136" s="10"/>
      <c r="J136" s="25" t="str">
        <f>IFERROR(VLOOKUP(C136,'01_Поставщики'!$A$4:$M$11,8,FALSE()),"")</f>
        <v/>
      </c>
      <c r="K136" s="25" t="str">
        <f>IFERROR(VLOOKUP(C136,'01_Поставщики'!$A$4:$M$11,4,FALSE()),"")</f>
        <v/>
      </c>
      <c r="L136" s="25" t="str">
        <f>IFERROR(VLOOKUP(C136,'01_Поставщики'!$A$4:$M$11,10,FALSE()),"")</f>
        <v/>
      </c>
      <c r="M136" s="26" t="str">
        <f>IF(OR(A136="",B136=""),"",IFERROR(SUMIFS('04_Потребность'!$B$4:$B$103,'04_Потребность'!$A$4:$A$103,A136,'04_Потребность'!$C$4:$C$103,B136),0))</f>
        <v/>
      </c>
      <c r="N136" s="11"/>
      <c r="O136" s="10"/>
      <c r="P136" s="10"/>
      <c r="Q136" s="27"/>
      <c r="R136" s="27"/>
      <c r="S136" s="8"/>
      <c r="T136" s="8">
        <f>IFERROR(INDEX('02_Схемы оплаты'!$C$4:$C$19,MATCH($C136&amp;"|"&amp;$G136,'02_Схемы оплаты'!$H$4:$H$19,0)),0)</f>
        <v>0</v>
      </c>
      <c r="U136" s="11"/>
      <c r="V136" s="28"/>
      <c r="W136" s="8"/>
      <c r="X136" s="8">
        <f>IFERROR(INDEX('02_Схемы оплаты'!$D$4:$D$19,MATCH($C136&amp;"|"&amp;$G136,'02_Схемы оплаты'!$H$4:$H$19,0)),0)</f>
        <v>0</v>
      </c>
      <c r="Y136" s="11"/>
      <c r="Z136" s="28"/>
      <c r="AA136" s="8"/>
      <c r="AB136" s="8">
        <f>IFERROR(INDEX('02_Схемы оплаты'!$E$4:$E$19,MATCH($C136&amp;"|"&amp;$G136,'02_Схемы оплаты'!$H$4:$H$19,0)),0)</f>
        <v>0</v>
      </c>
      <c r="AC136" s="11"/>
      <c r="AD136" s="28"/>
      <c r="AE136" s="8"/>
      <c r="AF136" s="10"/>
      <c r="AG136" s="10"/>
      <c r="AH136" s="25">
        <f>IFERROR(SUMIFS('04_Потребность'!$D$4:$D$103,'04_Потребность'!$A$4:$A$103,A136,'04_Потребность'!$C$4:$C$103,B136),0)</f>
        <v>0</v>
      </c>
      <c r="AI136" s="26" t="str">
        <f>IF(OR(A136="",B136=""),"",IFERROR(SUMIFS('04_Потребность'!$E$4:$E$103,'04_Потребность'!$A$4:$A$103,A136,'04_Потребность'!$C$4:$C$103,B136),0))</f>
        <v/>
      </c>
      <c r="AJ136" s="25" t="str">
        <f>IF(OR(A136="",B136=""),"",IFERROR(SUMIFS('04_Потребность'!$F$4:$F$103,'04_Потребность'!$A$4:$A$103,A136,'04_Потребность'!$C$4:$C$103,B136),0))</f>
        <v/>
      </c>
      <c r="AK136" s="29" t="str">
        <f>IF(OR(A136="",B136=""),"",IFERROR(SUMIFS('04_Потребность'!$G$4:$G$103,'04_Потребность'!$A$4:$A$103,A136,'04_Потребность'!$C$4:$C$103,B136),0))</f>
        <v/>
      </c>
      <c r="AL136" s="25" t="str">
        <f>IF('03_Настройки'!$B$7="Нет","Нет",IF(COUNTIFS('04_Потребность'!$A$4:$A$103,A136,'04_Потребность'!$C$4:$C$103,B136,'04_Потребность'!$H$4:$H$103,"Да")&gt;0,"Да","Нет"))</f>
        <v>Нет</v>
      </c>
      <c r="AM136" s="30">
        <f t="shared" si="80"/>
        <v>0</v>
      </c>
      <c r="AN136" s="30">
        <f t="shared" si="81"/>
        <v>0</v>
      </c>
      <c r="AO136" s="29">
        <f t="shared" si="82"/>
        <v>0</v>
      </c>
      <c r="AP136" s="29">
        <f t="shared" si="83"/>
        <v>0</v>
      </c>
      <c r="AQ136" s="29">
        <f t="shared" si="84"/>
        <v>0</v>
      </c>
      <c r="AR136" s="29">
        <f>IFERROR(E136*'03_Настройки'!$B$4/365*(IF(T136&gt;0,T136*V136*(1+W136)*MAX(0,N136-U136),0)+IF(X136&gt;0,X136*Z136*(1+AA136)*MAX(0,N136-Y136),0)+IF(AB136&gt;0,AB136*AD136*(1+AE136)*MAX(0,N136-AC136),0)),0)</f>
        <v>0</v>
      </c>
      <c r="AS136" s="29">
        <f t="shared" si="85"/>
        <v>0</v>
      </c>
      <c r="AT136" s="31">
        <f t="shared" si="86"/>
        <v>0</v>
      </c>
      <c r="AU136" s="31">
        <f t="shared" si="87"/>
        <v>0</v>
      </c>
      <c r="AV136" s="32">
        <f t="shared" si="88"/>
        <v>0</v>
      </c>
      <c r="AW136" s="29" t="e">
        <f t="shared" si="89"/>
        <v>#VALUE!</v>
      </c>
      <c r="AX136" s="29">
        <f t="shared" si="90"/>
        <v>0</v>
      </c>
      <c r="AY136" s="29" t="e">
        <f t="shared" si="91"/>
        <v>#VALUE!</v>
      </c>
      <c r="AZ136" s="25" t="str">
        <f>IF(AND(A136&lt;&gt;"",B136&lt;&gt;"",C136&lt;&gt;"",D136&gt;0,E136&gt;0,N136&lt;&gt;"",AH136&gt;0,O136="Да",P136="Да",BZ136="ПОЛНО",ABS(AN136-1)&lt;='03_Настройки'!$B$5,IF(T136&gt;0,AND(U136&lt;&gt;"",V136&gt;0),TRUE()),IF(X136&gt;0,AND(Y136&lt;&gt;"",Z136&gt;0),TRUE()),IF(AB136&gt;0,AND(AC136&lt;&gt;"",AD136&gt;0),TRUE()),OR(BM136="",BM136="Активна")),"Да","Нет")</f>
        <v>Нет</v>
      </c>
      <c r="BA136" s="25" t="str">
        <f t="shared" si="92"/>
        <v>Нет</v>
      </c>
      <c r="BB136" s="25" t="str">
        <f t="shared" si="93"/>
        <v/>
      </c>
      <c r="BC136" s="25" t="str">
        <f t="shared" si="94"/>
        <v/>
      </c>
      <c r="BD136" s="25" t="str">
        <f t="shared" si="95"/>
        <v/>
      </c>
      <c r="BE136" s="25" t="str">
        <f>IF(A136="","",IF(BZ136&lt;&gt;"ПОЛНО","BLOCK: неполная форма",IF(O136&lt;&gt;"Да","BLOCK: ввоз не разрешён",IF(P136&lt;&gt;"Да","BLOCK: документы не подтверждены",IF(ABS(AN136-1)&gt;'03_Настройки'!$B$5,"BLOCK: платежи не 100%",IF(AND(BM136&lt;&gt;"",BM136&lt;&gt;"Активна"),"BLOCK: позиция "&amp;BM136,IF(BA136&lt;&gt;"Да","PARTIAL: не покрывает потребность",IF(BB136="ДА","самый дешёвый"&amp;IF(BC136="ДА"," + быстрый","")&amp;IF(BD136="ДА"," + optimal",""),IF(BC136="ДА","самый быстрый"&amp;IF(BD136="ДА"," + optimal",""),IF(BD136="ДА","optimal","Допущен"))))))))))</f>
        <v/>
      </c>
      <c r="BF136" s="25">
        <f>ROW()</f>
        <v>136</v>
      </c>
      <c r="BG136" s="33"/>
      <c r="BH136" s="33"/>
      <c r="BI136" s="33"/>
      <c r="BJ136" s="33"/>
      <c r="BK136" s="33"/>
      <c r="BL136" s="34"/>
      <c r="BM136" s="33"/>
      <c r="BN136" s="35" t="str">
        <f t="shared" si="96"/>
        <v/>
      </c>
      <c r="BO136" s="36" t="str">
        <f t="shared" si="97"/>
        <v/>
      </c>
      <c r="BP136" s="33"/>
      <c r="BQ136" s="38"/>
      <c r="BR136" s="13"/>
      <c r="BS136" s="13"/>
      <c r="BT136" s="13"/>
      <c r="BU136" s="13"/>
      <c r="BV136" s="13"/>
      <c r="BW136" s="13"/>
      <c r="BX136" s="39" t="str">
        <f t="shared" si="98"/>
        <v/>
      </c>
      <c r="BY136" s="47"/>
      <c r="BZ136" s="48" t="str">
        <f t="shared" si="99"/>
        <v/>
      </c>
      <c r="CA136" s="47"/>
      <c r="CB136" s="47"/>
      <c r="CC136" s="47"/>
    </row>
    <row r="137" spans="1:81" ht="14.25" x14ac:dyDescent="0.45">
      <c r="A137" s="10"/>
      <c r="B137" s="10"/>
      <c r="C137" s="10"/>
      <c r="D137" s="10"/>
      <c r="E137" s="10"/>
      <c r="F137" s="10"/>
      <c r="G137" s="10"/>
      <c r="H137" s="25" t="str">
        <f>IFERROR(VLOOKUP(C137,'01_Поставщики'!$A$4:$M$11,2,FALSE()),"")</f>
        <v/>
      </c>
      <c r="I137" s="10"/>
      <c r="J137" s="25" t="str">
        <f>IFERROR(VLOOKUP(C137,'01_Поставщики'!$A$4:$M$11,8,FALSE()),"")</f>
        <v/>
      </c>
      <c r="K137" s="25" t="str">
        <f>IFERROR(VLOOKUP(C137,'01_Поставщики'!$A$4:$M$11,4,FALSE()),"")</f>
        <v/>
      </c>
      <c r="L137" s="25" t="str">
        <f>IFERROR(VLOOKUP(C137,'01_Поставщики'!$A$4:$M$11,10,FALSE()),"")</f>
        <v/>
      </c>
      <c r="M137" s="26" t="str">
        <f>IF(OR(A137="",B137=""),"",IFERROR(SUMIFS('04_Потребность'!$B$4:$B$103,'04_Потребность'!$A$4:$A$103,A137,'04_Потребность'!$C$4:$C$103,B137),0))</f>
        <v/>
      </c>
      <c r="N137" s="11"/>
      <c r="O137" s="10"/>
      <c r="P137" s="10"/>
      <c r="Q137" s="27"/>
      <c r="R137" s="27"/>
      <c r="S137" s="8"/>
      <c r="T137" s="8">
        <f>IFERROR(INDEX('02_Схемы оплаты'!$C$4:$C$19,MATCH($C137&amp;"|"&amp;$G137,'02_Схемы оплаты'!$H$4:$H$19,0)),0)</f>
        <v>0</v>
      </c>
      <c r="U137" s="11"/>
      <c r="V137" s="28"/>
      <c r="W137" s="8"/>
      <c r="X137" s="8">
        <f>IFERROR(INDEX('02_Схемы оплаты'!$D$4:$D$19,MATCH($C137&amp;"|"&amp;$G137,'02_Схемы оплаты'!$H$4:$H$19,0)),0)</f>
        <v>0</v>
      </c>
      <c r="Y137" s="11"/>
      <c r="Z137" s="28"/>
      <c r="AA137" s="8"/>
      <c r="AB137" s="8">
        <f>IFERROR(INDEX('02_Схемы оплаты'!$E$4:$E$19,MATCH($C137&amp;"|"&amp;$G137,'02_Схемы оплаты'!$H$4:$H$19,0)),0)</f>
        <v>0</v>
      </c>
      <c r="AC137" s="11"/>
      <c r="AD137" s="28"/>
      <c r="AE137" s="8"/>
      <c r="AF137" s="10"/>
      <c r="AG137" s="10"/>
      <c r="AH137" s="25">
        <f>IFERROR(SUMIFS('04_Потребность'!$D$4:$D$103,'04_Потребность'!$A$4:$A$103,A137,'04_Потребность'!$C$4:$C$103,B137),0)</f>
        <v>0</v>
      </c>
      <c r="AI137" s="26" t="str">
        <f>IF(OR(A137="",B137=""),"",IFERROR(SUMIFS('04_Потребность'!$E$4:$E$103,'04_Потребность'!$A$4:$A$103,A137,'04_Потребность'!$C$4:$C$103,B137),0))</f>
        <v/>
      </c>
      <c r="AJ137" s="25" t="str">
        <f>IF(OR(A137="",B137=""),"",IFERROR(SUMIFS('04_Потребность'!$F$4:$F$103,'04_Потребность'!$A$4:$A$103,A137,'04_Потребность'!$C$4:$C$103,B137),0))</f>
        <v/>
      </c>
      <c r="AK137" s="29" t="str">
        <f>IF(OR(A137="",B137=""),"",IFERROR(SUMIFS('04_Потребность'!$G$4:$G$103,'04_Потребность'!$A$4:$A$103,A137,'04_Потребность'!$C$4:$C$103,B137),0))</f>
        <v/>
      </c>
      <c r="AL137" s="25" t="str">
        <f>IF('03_Настройки'!$B$7="Нет","Нет",IF(COUNTIFS('04_Потребность'!$A$4:$A$103,A137,'04_Потребность'!$C$4:$C$103,B137,'04_Потребность'!$H$4:$H$103,"Да")&gt;0,"Да","Нет"))</f>
        <v>Нет</v>
      </c>
      <c r="AM137" s="30">
        <f t="shared" si="80"/>
        <v>0</v>
      </c>
      <c r="AN137" s="30">
        <f t="shared" si="81"/>
        <v>0</v>
      </c>
      <c r="AO137" s="29">
        <f t="shared" si="82"/>
        <v>0</v>
      </c>
      <c r="AP137" s="29">
        <f t="shared" si="83"/>
        <v>0</v>
      </c>
      <c r="AQ137" s="29">
        <f t="shared" si="84"/>
        <v>0</v>
      </c>
      <c r="AR137" s="29">
        <f>IFERROR(E137*'03_Настройки'!$B$4/365*(IF(T137&gt;0,T137*V137*(1+W137)*MAX(0,N137-U137),0)+IF(X137&gt;0,X137*Z137*(1+AA137)*MAX(0,N137-Y137),0)+IF(AB137&gt;0,AB137*AD137*(1+AE137)*MAX(0,N137-AC137),0)),0)</f>
        <v>0</v>
      </c>
      <c r="AS137" s="29">
        <f t="shared" si="85"/>
        <v>0</v>
      </c>
      <c r="AT137" s="31">
        <f t="shared" si="86"/>
        <v>0</v>
      </c>
      <c r="AU137" s="31">
        <f t="shared" si="87"/>
        <v>0</v>
      </c>
      <c r="AV137" s="32">
        <f t="shared" si="88"/>
        <v>0</v>
      </c>
      <c r="AW137" s="29" t="e">
        <f t="shared" si="89"/>
        <v>#VALUE!</v>
      </c>
      <c r="AX137" s="29">
        <f t="shared" si="90"/>
        <v>0</v>
      </c>
      <c r="AY137" s="29" t="e">
        <f t="shared" si="91"/>
        <v>#VALUE!</v>
      </c>
      <c r="AZ137" s="25" t="str">
        <f>IF(AND(A137&lt;&gt;"",B137&lt;&gt;"",C137&lt;&gt;"",D137&gt;0,E137&gt;0,N137&lt;&gt;"",AH137&gt;0,O137="Да",P137="Да",BZ137="ПОЛНО",ABS(AN137-1)&lt;='03_Настройки'!$B$5,IF(T137&gt;0,AND(U137&lt;&gt;"",V137&gt;0),TRUE()),IF(X137&gt;0,AND(Y137&lt;&gt;"",Z137&gt;0),TRUE()),IF(AB137&gt;0,AND(AC137&lt;&gt;"",AD137&gt;0),TRUE()),OR(BM137="",BM137="Активна")),"Да","Нет")</f>
        <v>Нет</v>
      </c>
      <c r="BA137" s="25" t="str">
        <f t="shared" si="92"/>
        <v>Нет</v>
      </c>
      <c r="BB137" s="25" t="str">
        <f t="shared" si="93"/>
        <v/>
      </c>
      <c r="BC137" s="25" t="str">
        <f t="shared" si="94"/>
        <v/>
      </c>
      <c r="BD137" s="25" t="str">
        <f t="shared" si="95"/>
        <v/>
      </c>
      <c r="BE137" s="25" t="str">
        <f>IF(A137="","",IF(BZ137&lt;&gt;"ПОЛНО","BLOCK: неполная форма",IF(O137&lt;&gt;"Да","BLOCK: ввоз не разрешён",IF(P137&lt;&gt;"Да","BLOCK: документы не подтверждены",IF(ABS(AN137-1)&gt;'03_Настройки'!$B$5,"BLOCK: платежи не 100%",IF(AND(BM137&lt;&gt;"",BM137&lt;&gt;"Активна"),"BLOCK: позиция "&amp;BM137,IF(BA137&lt;&gt;"Да","PARTIAL: не покрывает потребность",IF(BB137="ДА","самый дешёвый"&amp;IF(BC137="ДА"," + быстрый","")&amp;IF(BD137="ДА"," + optimal",""),IF(BC137="ДА","самый быстрый"&amp;IF(BD137="ДА"," + optimal",""),IF(BD137="ДА","optimal","Допущен"))))))))))</f>
        <v/>
      </c>
      <c r="BF137" s="25">
        <f>ROW()</f>
        <v>137</v>
      </c>
      <c r="BG137" s="33"/>
      <c r="BH137" s="33"/>
      <c r="BI137" s="33"/>
      <c r="BJ137" s="33"/>
      <c r="BK137" s="33"/>
      <c r="BL137" s="34"/>
      <c r="BM137" s="33"/>
      <c r="BN137" s="35" t="str">
        <f t="shared" si="96"/>
        <v/>
      </c>
      <c r="BO137" s="36" t="str">
        <f t="shared" si="97"/>
        <v/>
      </c>
      <c r="BP137" s="33"/>
      <c r="BQ137" s="38"/>
      <c r="BR137" s="13"/>
      <c r="BS137" s="13"/>
      <c r="BT137" s="13"/>
      <c r="BU137" s="13"/>
      <c r="BV137" s="13"/>
      <c r="BW137" s="13"/>
      <c r="BX137" s="39" t="str">
        <f t="shared" si="98"/>
        <v/>
      </c>
      <c r="BY137" s="47"/>
      <c r="BZ137" s="48" t="str">
        <f t="shared" si="99"/>
        <v/>
      </c>
      <c r="CA137" s="47"/>
      <c r="CB137" s="47"/>
      <c r="CC137" s="47"/>
    </row>
    <row r="138" spans="1:81" ht="14.25" x14ac:dyDescent="0.45">
      <c r="A138" s="10"/>
      <c r="B138" s="10"/>
      <c r="C138" s="10"/>
      <c r="D138" s="10"/>
      <c r="E138" s="10"/>
      <c r="F138" s="10"/>
      <c r="G138" s="10"/>
      <c r="H138" s="25" t="str">
        <f>IFERROR(VLOOKUP(C138,'01_Поставщики'!$A$4:$M$11,2,FALSE()),"")</f>
        <v/>
      </c>
      <c r="I138" s="10"/>
      <c r="J138" s="25" t="str">
        <f>IFERROR(VLOOKUP(C138,'01_Поставщики'!$A$4:$M$11,8,FALSE()),"")</f>
        <v/>
      </c>
      <c r="K138" s="25" t="str">
        <f>IFERROR(VLOOKUP(C138,'01_Поставщики'!$A$4:$M$11,4,FALSE()),"")</f>
        <v/>
      </c>
      <c r="L138" s="25" t="str">
        <f>IFERROR(VLOOKUP(C138,'01_Поставщики'!$A$4:$M$11,10,FALSE()),"")</f>
        <v/>
      </c>
      <c r="M138" s="26" t="str">
        <f>IF(OR(A138="",B138=""),"",IFERROR(SUMIFS('04_Потребность'!$B$4:$B$103,'04_Потребность'!$A$4:$A$103,A138,'04_Потребность'!$C$4:$C$103,B138),0))</f>
        <v/>
      </c>
      <c r="N138" s="11"/>
      <c r="O138" s="10"/>
      <c r="P138" s="10"/>
      <c r="Q138" s="27"/>
      <c r="R138" s="27"/>
      <c r="S138" s="8"/>
      <c r="T138" s="8">
        <f>IFERROR(INDEX('02_Схемы оплаты'!$C$4:$C$19,MATCH($C138&amp;"|"&amp;$G138,'02_Схемы оплаты'!$H$4:$H$19,0)),0)</f>
        <v>0</v>
      </c>
      <c r="U138" s="11"/>
      <c r="V138" s="28"/>
      <c r="W138" s="8"/>
      <c r="X138" s="8">
        <f>IFERROR(INDEX('02_Схемы оплаты'!$D$4:$D$19,MATCH($C138&amp;"|"&amp;$G138,'02_Схемы оплаты'!$H$4:$H$19,0)),0)</f>
        <v>0</v>
      </c>
      <c r="Y138" s="11"/>
      <c r="Z138" s="28"/>
      <c r="AA138" s="8"/>
      <c r="AB138" s="8">
        <f>IFERROR(INDEX('02_Схемы оплаты'!$E$4:$E$19,MATCH($C138&amp;"|"&amp;$G138,'02_Схемы оплаты'!$H$4:$H$19,0)),0)</f>
        <v>0</v>
      </c>
      <c r="AC138" s="11"/>
      <c r="AD138" s="28"/>
      <c r="AE138" s="8"/>
      <c r="AF138" s="10"/>
      <c r="AG138" s="10"/>
      <c r="AH138" s="25">
        <f>IFERROR(SUMIFS('04_Потребность'!$D$4:$D$103,'04_Потребность'!$A$4:$A$103,A138,'04_Потребность'!$C$4:$C$103,B138),0)</f>
        <v>0</v>
      </c>
      <c r="AI138" s="26" t="str">
        <f>IF(OR(A138="",B138=""),"",IFERROR(SUMIFS('04_Потребность'!$E$4:$E$103,'04_Потребность'!$A$4:$A$103,A138,'04_Потребность'!$C$4:$C$103,B138),0))</f>
        <v/>
      </c>
      <c r="AJ138" s="25" t="str">
        <f>IF(OR(A138="",B138=""),"",IFERROR(SUMIFS('04_Потребность'!$F$4:$F$103,'04_Потребность'!$A$4:$A$103,A138,'04_Потребность'!$C$4:$C$103,B138),0))</f>
        <v/>
      </c>
      <c r="AK138" s="29" t="str">
        <f>IF(OR(A138="",B138=""),"",IFERROR(SUMIFS('04_Потребность'!$G$4:$G$103,'04_Потребность'!$A$4:$A$103,A138,'04_Потребность'!$C$4:$C$103,B138),0))</f>
        <v/>
      </c>
      <c r="AL138" s="25" t="str">
        <f>IF('03_Настройки'!$B$7="Нет","Нет",IF(COUNTIFS('04_Потребность'!$A$4:$A$103,A138,'04_Потребность'!$C$4:$C$103,B138,'04_Потребность'!$H$4:$H$103,"Да")&gt;0,"Да","Нет"))</f>
        <v>Нет</v>
      </c>
      <c r="AM138" s="30">
        <f t="shared" si="80"/>
        <v>0</v>
      </c>
      <c r="AN138" s="30">
        <f t="shared" si="81"/>
        <v>0</v>
      </c>
      <c r="AO138" s="29">
        <f t="shared" si="82"/>
        <v>0</v>
      </c>
      <c r="AP138" s="29">
        <f t="shared" si="83"/>
        <v>0</v>
      </c>
      <c r="AQ138" s="29">
        <f t="shared" si="84"/>
        <v>0</v>
      </c>
      <c r="AR138" s="29">
        <f>IFERROR(E138*'03_Настройки'!$B$4/365*(IF(T138&gt;0,T138*V138*(1+W138)*MAX(0,N138-U138),0)+IF(X138&gt;0,X138*Z138*(1+AA138)*MAX(0,N138-Y138),0)+IF(AB138&gt;0,AB138*AD138*(1+AE138)*MAX(0,N138-AC138),0)),0)</f>
        <v>0</v>
      </c>
      <c r="AS138" s="29">
        <f t="shared" si="85"/>
        <v>0</v>
      </c>
      <c r="AT138" s="31">
        <f t="shared" si="86"/>
        <v>0</v>
      </c>
      <c r="AU138" s="31">
        <f t="shared" si="87"/>
        <v>0</v>
      </c>
      <c r="AV138" s="32">
        <f t="shared" si="88"/>
        <v>0</v>
      </c>
      <c r="AW138" s="29" t="e">
        <f t="shared" si="89"/>
        <v>#VALUE!</v>
      </c>
      <c r="AX138" s="29">
        <f t="shared" si="90"/>
        <v>0</v>
      </c>
      <c r="AY138" s="29" t="e">
        <f t="shared" si="91"/>
        <v>#VALUE!</v>
      </c>
      <c r="AZ138" s="25" t="str">
        <f>IF(AND(A138&lt;&gt;"",B138&lt;&gt;"",C138&lt;&gt;"",D138&gt;0,E138&gt;0,N138&lt;&gt;"",AH138&gt;0,O138="Да",P138="Да",BZ138="ПОЛНО",ABS(AN138-1)&lt;='03_Настройки'!$B$5,IF(T138&gt;0,AND(U138&lt;&gt;"",V138&gt;0),TRUE()),IF(X138&gt;0,AND(Y138&lt;&gt;"",Z138&gt;0),TRUE()),IF(AB138&gt;0,AND(AC138&lt;&gt;"",AD138&gt;0),TRUE()),OR(BM138="",BM138="Активна")),"Да","Нет")</f>
        <v>Нет</v>
      </c>
      <c r="BA138" s="25" t="str">
        <f t="shared" si="92"/>
        <v>Нет</v>
      </c>
      <c r="BB138" s="25" t="str">
        <f t="shared" si="93"/>
        <v/>
      </c>
      <c r="BC138" s="25" t="str">
        <f t="shared" si="94"/>
        <v/>
      </c>
      <c r="BD138" s="25" t="str">
        <f t="shared" si="95"/>
        <v/>
      </c>
      <c r="BE138" s="25" t="str">
        <f>IF(A138="","",IF(BZ138&lt;&gt;"ПОЛНО","BLOCK: неполная форма",IF(O138&lt;&gt;"Да","BLOCK: ввоз не разрешён",IF(P138&lt;&gt;"Да","BLOCK: документы не подтверждены",IF(ABS(AN138-1)&gt;'03_Настройки'!$B$5,"BLOCK: платежи не 100%",IF(AND(BM138&lt;&gt;"",BM138&lt;&gt;"Активна"),"BLOCK: позиция "&amp;BM138,IF(BA138&lt;&gt;"Да","PARTIAL: не покрывает потребность",IF(BB138="ДА","самый дешёвый"&amp;IF(BC138="ДА"," + быстрый","")&amp;IF(BD138="ДА"," + optimal",""),IF(BC138="ДА","самый быстрый"&amp;IF(BD138="ДА"," + optimal",""),IF(BD138="ДА","optimal","Допущен"))))))))))</f>
        <v/>
      </c>
      <c r="BF138" s="25">
        <f>ROW()</f>
        <v>138</v>
      </c>
      <c r="BG138" s="33"/>
      <c r="BH138" s="33"/>
      <c r="BI138" s="33"/>
      <c r="BJ138" s="33"/>
      <c r="BK138" s="33"/>
      <c r="BL138" s="34"/>
      <c r="BM138" s="33"/>
      <c r="BN138" s="35" t="str">
        <f t="shared" si="96"/>
        <v/>
      </c>
      <c r="BO138" s="36" t="str">
        <f t="shared" si="97"/>
        <v/>
      </c>
      <c r="BP138" s="33"/>
      <c r="BQ138" s="38"/>
      <c r="BR138" s="13"/>
      <c r="BS138" s="13"/>
      <c r="BT138" s="13"/>
      <c r="BU138" s="13"/>
      <c r="BV138" s="13"/>
      <c r="BW138" s="13"/>
      <c r="BX138" s="39" t="str">
        <f t="shared" si="98"/>
        <v/>
      </c>
      <c r="BY138" s="47"/>
      <c r="BZ138" s="48" t="str">
        <f t="shared" si="99"/>
        <v/>
      </c>
      <c r="CA138" s="47"/>
      <c r="CB138" s="47"/>
      <c r="CC138" s="47"/>
    </row>
    <row r="139" spans="1:81" ht="14.25" x14ac:dyDescent="0.45">
      <c r="A139" s="10"/>
      <c r="B139" s="10"/>
      <c r="C139" s="10"/>
      <c r="D139" s="10"/>
      <c r="E139" s="10"/>
      <c r="F139" s="10"/>
      <c r="G139" s="10"/>
      <c r="H139" s="25" t="str">
        <f>IFERROR(VLOOKUP(C139,'01_Поставщики'!$A$4:$M$11,2,FALSE()),"")</f>
        <v/>
      </c>
      <c r="I139" s="10"/>
      <c r="J139" s="25" t="str">
        <f>IFERROR(VLOOKUP(C139,'01_Поставщики'!$A$4:$M$11,8,FALSE()),"")</f>
        <v/>
      </c>
      <c r="K139" s="25" t="str">
        <f>IFERROR(VLOOKUP(C139,'01_Поставщики'!$A$4:$M$11,4,FALSE()),"")</f>
        <v/>
      </c>
      <c r="L139" s="25" t="str">
        <f>IFERROR(VLOOKUP(C139,'01_Поставщики'!$A$4:$M$11,10,FALSE()),"")</f>
        <v/>
      </c>
      <c r="M139" s="26" t="str">
        <f>IF(OR(A139="",B139=""),"",IFERROR(SUMIFS('04_Потребность'!$B$4:$B$103,'04_Потребность'!$A$4:$A$103,A139,'04_Потребность'!$C$4:$C$103,B139),0))</f>
        <v/>
      </c>
      <c r="N139" s="11"/>
      <c r="O139" s="10"/>
      <c r="P139" s="10"/>
      <c r="Q139" s="27"/>
      <c r="R139" s="27"/>
      <c r="S139" s="8"/>
      <c r="T139" s="8">
        <f>IFERROR(INDEX('02_Схемы оплаты'!$C$4:$C$19,MATCH($C139&amp;"|"&amp;$G139,'02_Схемы оплаты'!$H$4:$H$19,0)),0)</f>
        <v>0</v>
      </c>
      <c r="U139" s="11"/>
      <c r="V139" s="28"/>
      <c r="W139" s="8"/>
      <c r="X139" s="8">
        <f>IFERROR(INDEX('02_Схемы оплаты'!$D$4:$D$19,MATCH($C139&amp;"|"&amp;$G139,'02_Схемы оплаты'!$H$4:$H$19,0)),0)</f>
        <v>0</v>
      </c>
      <c r="Y139" s="11"/>
      <c r="Z139" s="28"/>
      <c r="AA139" s="8"/>
      <c r="AB139" s="8">
        <f>IFERROR(INDEX('02_Схемы оплаты'!$E$4:$E$19,MATCH($C139&amp;"|"&amp;$G139,'02_Схемы оплаты'!$H$4:$H$19,0)),0)</f>
        <v>0</v>
      </c>
      <c r="AC139" s="11"/>
      <c r="AD139" s="28"/>
      <c r="AE139" s="8"/>
      <c r="AF139" s="10"/>
      <c r="AG139" s="10"/>
      <c r="AH139" s="25">
        <f>IFERROR(SUMIFS('04_Потребность'!$D$4:$D$103,'04_Потребность'!$A$4:$A$103,A139,'04_Потребность'!$C$4:$C$103,B139),0)</f>
        <v>0</v>
      </c>
      <c r="AI139" s="26" t="str">
        <f>IF(OR(A139="",B139=""),"",IFERROR(SUMIFS('04_Потребность'!$E$4:$E$103,'04_Потребность'!$A$4:$A$103,A139,'04_Потребность'!$C$4:$C$103,B139),0))</f>
        <v/>
      </c>
      <c r="AJ139" s="25" t="str">
        <f>IF(OR(A139="",B139=""),"",IFERROR(SUMIFS('04_Потребность'!$F$4:$F$103,'04_Потребность'!$A$4:$A$103,A139,'04_Потребность'!$C$4:$C$103,B139),0))</f>
        <v/>
      </c>
      <c r="AK139" s="29" t="str">
        <f>IF(OR(A139="",B139=""),"",IFERROR(SUMIFS('04_Потребность'!$G$4:$G$103,'04_Потребность'!$A$4:$A$103,A139,'04_Потребность'!$C$4:$C$103,B139),0))</f>
        <v/>
      </c>
      <c r="AL139" s="25" t="str">
        <f>IF('03_Настройки'!$B$7="Нет","Нет",IF(COUNTIFS('04_Потребность'!$A$4:$A$103,A139,'04_Потребность'!$C$4:$C$103,B139,'04_Потребность'!$H$4:$H$103,"Да")&gt;0,"Да","Нет"))</f>
        <v>Нет</v>
      </c>
      <c r="AM139" s="30">
        <f t="shared" si="80"/>
        <v>0</v>
      </c>
      <c r="AN139" s="30">
        <f t="shared" si="81"/>
        <v>0</v>
      </c>
      <c r="AO139" s="29">
        <f t="shared" si="82"/>
        <v>0</v>
      </c>
      <c r="AP139" s="29">
        <f t="shared" si="83"/>
        <v>0</v>
      </c>
      <c r="AQ139" s="29">
        <f t="shared" si="84"/>
        <v>0</v>
      </c>
      <c r="AR139" s="29">
        <f>IFERROR(E139*'03_Настройки'!$B$4/365*(IF(T139&gt;0,T139*V139*(1+W139)*MAX(0,N139-U139),0)+IF(X139&gt;0,X139*Z139*(1+AA139)*MAX(0,N139-Y139),0)+IF(AB139&gt;0,AB139*AD139*(1+AE139)*MAX(0,N139-AC139),0)),0)</f>
        <v>0</v>
      </c>
      <c r="AS139" s="29">
        <f t="shared" si="85"/>
        <v>0</v>
      </c>
      <c r="AT139" s="31">
        <f t="shared" si="86"/>
        <v>0</v>
      </c>
      <c r="AU139" s="31">
        <f t="shared" si="87"/>
        <v>0</v>
      </c>
      <c r="AV139" s="32">
        <f t="shared" si="88"/>
        <v>0</v>
      </c>
      <c r="AW139" s="29" t="e">
        <f t="shared" si="89"/>
        <v>#VALUE!</v>
      </c>
      <c r="AX139" s="29">
        <f t="shared" si="90"/>
        <v>0</v>
      </c>
      <c r="AY139" s="29" t="e">
        <f t="shared" si="91"/>
        <v>#VALUE!</v>
      </c>
      <c r="AZ139" s="25" t="str">
        <f>IF(AND(A139&lt;&gt;"",B139&lt;&gt;"",C139&lt;&gt;"",D139&gt;0,E139&gt;0,N139&lt;&gt;"",AH139&gt;0,O139="Да",P139="Да",BZ139="ПОЛНО",ABS(AN139-1)&lt;='03_Настройки'!$B$5,IF(T139&gt;0,AND(U139&lt;&gt;"",V139&gt;0),TRUE()),IF(X139&gt;0,AND(Y139&lt;&gt;"",Z139&gt;0),TRUE()),IF(AB139&gt;0,AND(AC139&lt;&gt;"",AD139&gt;0),TRUE()),OR(BM139="",BM139="Активна")),"Да","Нет")</f>
        <v>Нет</v>
      </c>
      <c r="BA139" s="25" t="str">
        <f t="shared" si="92"/>
        <v>Нет</v>
      </c>
      <c r="BB139" s="25" t="str">
        <f t="shared" si="93"/>
        <v/>
      </c>
      <c r="BC139" s="25" t="str">
        <f t="shared" si="94"/>
        <v/>
      </c>
      <c r="BD139" s="25" t="str">
        <f t="shared" si="95"/>
        <v/>
      </c>
      <c r="BE139" s="25" t="str">
        <f>IF(A139="","",IF(BZ139&lt;&gt;"ПОЛНО","BLOCK: неполная форма",IF(O139&lt;&gt;"Да","BLOCK: ввоз не разрешён",IF(P139&lt;&gt;"Да","BLOCK: документы не подтверждены",IF(ABS(AN139-1)&gt;'03_Настройки'!$B$5,"BLOCK: платежи не 100%",IF(AND(BM139&lt;&gt;"",BM139&lt;&gt;"Активна"),"BLOCK: позиция "&amp;BM139,IF(BA139&lt;&gt;"Да","PARTIAL: не покрывает потребность",IF(BB139="ДА","самый дешёвый"&amp;IF(BC139="ДА"," + быстрый","")&amp;IF(BD139="ДА"," + optimal",""),IF(BC139="ДА","самый быстрый"&amp;IF(BD139="ДА"," + optimal",""),IF(BD139="ДА","optimal","Допущен"))))))))))</f>
        <v/>
      </c>
      <c r="BF139" s="25">
        <f>ROW()</f>
        <v>139</v>
      </c>
      <c r="BG139" s="33"/>
      <c r="BH139" s="33"/>
      <c r="BI139" s="33"/>
      <c r="BJ139" s="33"/>
      <c r="BK139" s="33"/>
      <c r="BL139" s="34"/>
      <c r="BM139" s="33"/>
      <c r="BN139" s="35" t="str">
        <f t="shared" si="96"/>
        <v/>
      </c>
      <c r="BO139" s="36" t="str">
        <f t="shared" si="97"/>
        <v/>
      </c>
      <c r="BP139" s="33"/>
      <c r="BQ139" s="38"/>
      <c r="BR139" s="13"/>
      <c r="BS139" s="13"/>
      <c r="BT139" s="13"/>
      <c r="BU139" s="13"/>
      <c r="BV139" s="13"/>
      <c r="BW139" s="13"/>
      <c r="BX139" s="39" t="str">
        <f t="shared" si="98"/>
        <v/>
      </c>
      <c r="BY139" s="47"/>
      <c r="BZ139" s="48" t="str">
        <f t="shared" si="99"/>
        <v/>
      </c>
      <c r="CA139" s="47"/>
      <c r="CB139" s="47"/>
      <c r="CC139" s="47"/>
    </row>
    <row r="140" spans="1:81" ht="14.25" x14ac:dyDescent="0.45">
      <c r="A140" s="10"/>
      <c r="B140" s="10"/>
      <c r="C140" s="10"/>
      <c r="D140" s="10"/>
      <c r="E140" s="10"/>
      <c r="F140" s="10"/>
      <c r="G140" s="10"/>
      <c r="H140" s="25" t="str">
        <f>IFERROR(VLOOKUP(C140,'01_Поставщики'!$A$4:$M$11,2,FALSE()),"")</f>
        <v/>
      </c>
      <c r="I140" s="10"/>
      <c r="J140" s="25" t="str">
        <f>IFERROR(VLOOKUP(C140,'01_Поставщики'!$A$4:$M$11,8,FALSE()),"")</f>
        <v/>
      </c>
      <c r="K140" s="25" t="str">
        <f>IFERROR(VLOOKUP(C140,'01_Поставщики'!$A$4:$M$11,4,FALSE()),"")</f>
        <v/>
      </c>
      <c r="L140" s="25" t="str">
        <f>IFERROR(VLOOKUP(C140,'01_Поставщики'!$A$4:$M$11,10,FALSE()),"")</f>
        <v/>
      </c>
      <c r="M140" s="26" t="str">
        <f>IF(OR(A140="",B140=""),"",IFERROR(SUMIFS('04_Потребность'!$B$4:$B$103,'04_Потребность'!$A$4:$A$103,A140,'04_Потребность'!$C$4:$C$103,B140),0))</f>
        <v/>
      </c>
      <c r="N140" s="11"/>
      <c r="O140" s="10"/>
      <c r="P140" s="10"/>
      <c r="Q140" s="27"/>
      <c r="R140" s="27"/>
      <c r="S140" s="8"/>
      <c r="T140" s="8">
        <f>IFERROR(INDEX('02_Схемы оплаты'!$C$4:$C$19,MATCH($C140&amp;"|"&amp;$G140,'02_Схемы оплаты'!$H$4:$H$19,0)),0)</f>
        <v>0</v>
      </c>
      <c r="U140" s="11"/>
      <c r="V140" s="28"/>
      <c r="W140" s="8"/>
      <c r="X140" s="8">
        <f>IFERROR(INDEX('02_Схемы оплаты'!$D$4:$D$19,MATCH($C140&amp;"|"&amp;$G140,'02_Схемы оплаты'!$H$4:$H$19,0)),0)</f>
        <v>0</v>
      </c>
      <c r="Y140" s="11"/>
      <c r="Z140" s="28"/>
      <c r="AA140" s="8"/>
      <c r="AB140" s="8">
        <f>IFERROR(INDEX('02_Схемы оплаты'!$E$4:$E$19,MATCH($C140&amp;"|"&amp;$G140,'02_Схемы оплаты'!$H$4:$H$19,0)),0)</f>
        <v>0</v>
      </c>
      <c r="AC140" s="11"/>
      <c r="AD140" s="28"/>
      <c r="AE140" s="8"/>
      <c r="AF140" s="10"/>
      <c r="AG140" s="10"/>
      <c r="AH140" s="25">
        <f>IFERROR(SUMIFS('04_Потребность'!$D$4:$D$103,'04_Потребность'!$A$4:$A$103,A140,'04_Потребность'!$C$4:$C$103,B140),0)</f>
        <v>0</v>
      </c>
      <c r="AI140" s="26" t="str">
        <f>IF(OR(A140="",B140=""),"",IFERROR(SUMIFS('04_Потребность'!$E$4:$E$103,'04_Потребность'!$A$4:$A$103,A140,'04_Потребность'!$C$4:$C$103,B140),0))</f>
        <v/>
      </c>
      <c r="AJ140" s="25" t="str">
        <f>IF(OR(A140="",B140=""),"",IFERROR(SUMIFS('04_Потребность'!$F$4:$F$103,'04_Потребность'!$A$4:$A$103,A140,'04_Потребность'!$C$4:$C$103,B140),0))</f>
        <v/>
      </c>
      <c r="AK140" s="29" t="str">
        <f>IF(OR(A140="",B140=""),"",IFERROR(SUMIFS('04_Потребность'!$G$4:$G$103,'04_Потребность'!$A$4:$A$103,A140,'04_Потребность'!$C$4:$C$103,B140),0))</f>
        <v/>
      </c>
      <c r="AL140" s="25" t="str">
        <f>IF('03_Настройки'!$B$7="Нет","Нет",IF(COUNTIFS('04_Потребность'!$A$4:$A$103,A140,'04_Потребность'!$C$4:$C$103,B140,'04_Потребность'!$H$4:$H$103,"Да")&gt;0,"Да","Нет"))</f>
        <v>Нет</v>
      </c>
      <c r="AM140" s="30">
        <f t="shared" si="80"/>
        <v>0</v>
      </c>
      <c r="AN140" s="30">
        <f t="shared" si="81"/>
        <v>0</v>
      </c>
      <c r="AO140" s="29">
        <f t="shared" si="82"/>
        <v>0</v>
      </c>
      <c r="AP140" s="29">
        <f t="shared" si="83"/>
        <v>0</v>
      </c>
      <c r="AQ140" s="29">
        <f t="shared" si="84"/>
        <v>0</v>
      </c>
      <c r="AR140" s="29">
        <f>IFERROR(E140*'03_Настройки'!$B$4/365*(IF(T140&gt;0,T140*V140*(1+W140)*MAX(0,N140-U140),0)+IF(X140&gt;0,X140*Z140*(1+AA140)*MAX(0,N140-Y140),0)+IF(AB140&gt;0,AB140*AD140*(1+AE140)*MAX(0,N140-AC140),0)),0)</f>
        <v>0</v>
      </c>
      <c r="AS140" s="29">
        <f t="shared" si="85"/>
        <v>0</v>
      </c>
      <c r="AT140" s="31">
        <f t="shared" si="86"/>
        <v>0</v>
      </c>
      <c r="AU140" s="31">
        <f t="shared" si="87"/>
        <v>0</v>
      </c>
      <c r="AV140" s="32">
        <f t="shared" si="88"/>
        <v>0</v>
      </c>
      <c r="AW140" s="29" t="e">
        <f t="shared" si="89"/>
        <v>#VALUE!</v>
      </c>
      <c r="AX140" s="29">
        <f t="shared" si="90"/>
        <v>0</v>
      </c>
      <c r="AY140" s="29" t="e">
        <f t="shared" si="91"/>
        <v>#VALUE!</v>
      </c>
      <c r="AZ140" s="25" t="str">
        <f>IF(AND(A140&lt;&gt;"",B140&lt;&gt;"",C140&lt;&gt;"",D140&gt;0,E140&gt;0,N140&lt;&gt;"",AH140&gt;0,O140="Да",P140="Да",BZ140="ПОЛНО",ABS(AN140-1)&lt;='03_Настройки'!$B$5,IF(T140&gt;0,AND(U140&lt;&gt;"",V140&gt;0),TRUE()),IF(X140&gt;0,AND(Y140&lt;&gt;"",Z140&gt;0),TRUE()),IF(AB140&gt;0,AND(AC140&lt;&gt;"",AD140&gt;0),TRUE()),OR(BM140="",BM140="Активна")),"Да","Нет")</f>
        <v>Нет</v>
      </c>
      <c r="BA140" s="25" t="str">
        <f t="shared" si="92"/>
        <v>Нет</v>
      </c>
      <c r="BB140" s="25" t="str">
        <f t="shared" si="93"/>
        <v/>
      </c>
      <c r="BC140" s="25" t="str">
        <f t="shared" si="94"/>
        <v/>
      </c>
      <c r="BD140" s="25" t="str">
        <f t="shared" si="95"/>
        <v/>
      </c>
      <c r="BE140" s="25" t="str">
        <f>IF(A140="","",IF(BZ140&lt;&gt;"ПОЛНО","BLOCK: неполная форма",IF(O140&lt;&gt;"Да","BLOCK: ввоз не разрешён",IF(P140&lt;&gt;"Да","BLOCK: документы не подтверждены",IF(ABS(AN140-1)&gt;'03_Настройки'!$B$5,"BLOCK: платежи не 100%",IF(AND(BM140&lt;&gt;"",BM140&lt;&gt;"Активна"),"BLOCK: позиция "&amp;BM140,IF(BA140&lt;&gt;"Да","PARTIAL: не покрывает потребность",IF(BB140="ДА","самый дешёвый"&amp;IF(BC140="ДА"," + быстрый","")&amp;IF(BD140="ДА"," + optimal",""),IF(BC140="ДА","самый быстрый"&amp;IF(BD140="ДА"," + optimal",""),IF(BD140="ДА","optimal","Допущен"))))))))))</f>
        <v/>
      </c>
      <c r="BF140" s="25">
        <f>ROW()</f>
        <v>140</v>
      </c>
      <c r="BG140" s="33"/>
      <c r="BH140" s="33"/>
      <c r="BI140" s="33"/>
      <c r="BJ140" s="33"/>
      <c r="BK140" s="33"/>
      <c r="BL140" s="34"/>
      <c r="BM140" s="33"/>
      <c r="BN140" s="35" t="str">
        <f t="shared" si="96"/>
        <v/>
      </c>
      <c r="BO140" s="36" t="str">
        <f t="shared" si="97"/>
        <v/>
      </c>
      <c r="BP140" s="33"/>
      <c r="BQ140" s="38"/>
      <c r="BR140" s="13"/>
      <c r="BS140" s="13"/>
      <c r="BT140" s="13"/>
      <c r="BU140" s="13"/>
      <c r="BV140" s="13"/>
      <c r="BW140" s="13"/>
      <c r="BX140" s="39" t="str">
        <f t="shared" si="98"/>
        <v/>
      </c>
      <c r="BY140" s="47"/>
      <c r="BZ140" s="48" t="str">
        <f t="shared" si="99"/>
        <v/>
      </c>
      <c r="CA140" s="47"/>
      <c r="CB140" s="47"/>
      <c r="CC140" s="47"/>
    </row>
    <row r="141" spans="1:81" ht="14.25" x14ac:dyDescent="0.45">
      <c r="A141" s="10"/>
      <c r="B141" s="10"/>
      <c r="C141" s="10"/>
      <c r="D141" s="10"/>
      <c r="E141" s="10"/>
      <c r="F141" s="10"/>
      <c r="G141" s="10"/>
      <c r="H141" s="25" t="str">
        <f>IFERROR(VLOOKUP(C141,'01_Поставщики'!$A$4:$M$11,2,FALSE()),"")</f>
        <v/>
      </c>
      <c r="I141" s="10"/>
      <c r="J141" s="25" t="str">
        <f>IFERROR(VLOOKUP(C141,'01_Поставщики'!$A$4:$M$11,8,FALSE()),"")</f>
        <v/>
      </c>
      <c r="K141" s="25" t="str">
        <f>IFERROR(VLOOKUP(C141,'01_Поставщики'!$A$4:$M$11,4,FALSE()),"")</f>
        <v/>
      </c>
      <c r="L141" s="25" t="str">
        <f>IFERROR(VLOOKUP(C141,'01_Поставщики'!$A$4:$M$11,10,FALSE()),"")</f>
        <v/>
      </c>
      <c r="M141" s="26" t="str">
        <f>IF(OR(A141="",B141=""),"",IFERROR(SUMIFS('04_Потребность'!$B$4:$B$103,'04_Потребность'!$A$4:$A$103,A141,'04_Потребность'!$C$4:$C$103,B141),0))</f>
        <v/>
      </c>
      <c r="N141" s="11"/>
      <c r="O141" s="10"/>
      <c r="P141" s="10"/>
      <c r="Q141" s="27"/>
      <c r="R141" s="27"/>
      <c r="S141" s="8"/>
      <c r="T141" s="8">
        <f>IFERROR(INDEX('02_Схемы оплаты'!$C$4:$C$19,MATCH($C141&amp;"|"&amp;$G141,'02_Схемы оплаты'!$H$4:$H$19,0)),0)</f>
        <v>0</v>
      </c>
      <c r="U141" s="11"/>
      <c r="V141" s="28"/>
      <c r="W141" s="8"/>
      <c r="X141" s="8">
        <f>IFERROR(INDEX('02_Схемы оплаты'!$D$4:$D$19,MATCH($C141&amp;"|"&amp;$G141,'02_Схемы оплаты'!$H$4:$H$19,0)),0)</f>
        <v>0</v>
      </c>
      <c r="Y141" s="11"/>
      <c r="Z141" s="28"/>
      <c r="AA141" s="8"/>
      <c r="AB141" s="8">
        <f>IFERROR(INDEX('02_Схемы оплаты'!$E$4:$E$19,MATCH($C141&amp;"|"&amp;$G141,'02_Схемы оплаты'!$H$4:$H$19,0)),0)</f>
        <v>0</v>
      </c>
      <c r="AC141" s="11"/>
      <c r="AD141" s="28"/>
      <c r="AE141" s="8"/>
      <c r="AF141" s="10"/>
      <c r="AG141" s="10"/>
      <c r="AH141" s="25">
        <f>IFERROR(SUMIFS('04_Потребность'!$D$4:$D$103,'04_Потребность'!$A$4:$A$103,A141,'04_Потребность'!$C$4:$C$103,B141),0)</f>
        <v>0</v>
      </c>
      <c r="AI141" s="26" t="str">
        <f>IF(OR(A141="",B141=""),"",IFERROR(SUMIFS('04_Потребность'!$E$4:$E$103,'04_Потребность'!$A$4:$A$103,A141,'04_Потребность'!$C$4:$C$103,B141),0))</f>
        <v/>
      </c>
      <c r="AJ141" s="25" t="str">
        <f>IF(OR(A141="",B141=""),"",IFERROR(SUMIFS('04_Потребность'!$F$4:$F$103,'04_Потребность'!$A$4:$A$103,A141,'04_Потребность'!$C$4:$C$103,B141),0))</f>
        <v/>
      </c>
      <c r="AK141" s="29" t="str">
        <f>IF(OR(A141="",B141=""),"",IFERROR(SUMIFS('04_Потребность'!$G$4:$G$103,'04_Потребность'!$A$4:$A$103,A141,'04_Потребность'!$C$4:$C$103,B141),0))</f>
        <v/>
      </c>
      <c r="AL141" s="25" t="str">
        <f>IF('03_Настройки'!$B$7="Нет","Нет",IF(COUNTIFS('04_Потребность'!$A$4:$A$103,A141,'04_Потребность'!$C$4:$C$103,B141,'04_Потребность'!$H$4:$H$103,"Да")&gt;0,"Да","Нет"))</f>
        <v>Нет</v>
      </c>
      <c r="AM141" s="30">
        <f t="shared" si="80"/>
        <v>0</v>
      </c>
      <c r="AN141" s="30">
        <f t="shared" si="81"/>
        <v>0</v>
      </c>
      <c r="AO141" s="29">
        <f t="shared" si="82"/>
        <v>0</v>
      </c>
      <c r="AP141" s="29">
        <f t="shared" si="83"/>
        <v>0</v>
      </c>
      <c r="AQ141" s="29">
        <f t="shared" si="84"/>
        <v>0</v>
      </c>
      <c r="AR141" s="29">
        <f>IFERROR(E141*'03_Настройки'!$B$4/365*(IF(T141&gt;0,T141*V141*(1+W141)*MAX(0,N141-U141),0)+IF(X141&gt;0,X141*Z141*(1+AA141)*MAX(0,N141-Y141),0)+IF(AB141&gt;0,AB141*AD141*(1+AE141)*MAX(0,N141-AC141),0)),0)</f>
        <v>0</v>
      </c>
      <c r="AS141" s="29">
        <f t="shared" si="85"/>
        <v>0</v>
      </c>
      <c r="AT141" s="31">
        <f t="shared" si="86"/>
        <v>0</v>
      </c>
      <c r="AU141" s="31">
        <f t="shared" si="87"/>
        <v>0</v>
      </c>
      <c r="AV141" s="32">
        <f t="shared" si="88"/>
        <v>0</v>
      </c>
      <c r="AW141" s="29" t="e">
        <f t="shared" si="89"/>
        <v>#VALUE!</v>
      </c>
      <c r="AX141" s="29">
        <f t="shared" si="90"/>
        <v>0</v>
      </c>
      <c r="AY141" s="29" t="e">
        <f t="shared" si="91"/>
        <v>#VALUE!</v>
      </c>
      <c r="AZ141" s="25" t="str">
        <f>IF(AND(A141&lt;&gt;"",B141&lt;&gt;"",C141&lt;&gt;"",D141&gt;0,E141&gt;0,N141&lt;&gt;"",AH141&gt;0,O141="Да",P141="Да",BZ141="ПОЛНО",ABS(AN141-1)&lt;='03_Настройки'!$B$5,IF(T141&gt;0,AND(U141&lt;&gt;"",V141&gt;0),TRUE()),IF(X141&gt;0,AND(Y141&lt;&gt;"",Z141&gt;0),TRUE()),IF(AB141&gt;0,AND(AC141&lt;&gt;"",AD141&gt;0),TRUE()),OR(BM141="",BM141="Активна")),"Да","Нет")</f>
        <v>Нет</v>
      </c>
      <c r="BA141" s="25" t="str">
        <f t="shared" si="92"/>
        <v>Нет</v>
      </c>
      <c r="BB141" s="25" t="str">
        <f t="shared" si="93"/>
        <v/>
      </c>
      <c r="BC141" s="25" t="str">
        <f t="shared" si="94"/>
        <v/>
      </c>
      <c r="BD141" s="25" t="str">
        <f t="shared" si="95"/>
        <v/>
      </c>
      <c r="BE141" s="25" t="str">
        <f>IF(A141="","",IF(BZ141&lt;&gt;"ПОЛНО","BLOCK: неполная форма",IF(O141&lt;&gt;"Да","BLOCK: ввоз не разрешён",IF(P141&lt;&gt;"Да","BLOCK: документы не подтверждены",IF(ABS(AN141-1)&gt;'03_Настройки'!$B$5,"BLOCK: платежи не 100%",IF(AND(BM141&lt;&gt;"",BM141&lt;&gt;"Активна"),"BLOCK: позиция "&amp;BM141,IF(BA141&lt;&gt;"Да","PARTIAL: не покрывает потребность",IF(BB141="ДА","самый дешёвый"&amp;IF(BC141="ДА"," + быстрый","")&amp;IF(BD141="ДА"," + optimal",""),IF(BC141="ДА","самый быстрый"&amp;IF(BD141="ДА"," + optimal",""),IF(BD141="ДА","optimal","Допущен"))))))))))</f>
        <v/>
      </c>
      <c r="BF141" s="25">
        <f>ROW()</f>
        <v>141</v>
      </c>
      <c r="BG141" s="33"/>
      <c r="BH141" s="33"/>
      <c r="BI141" s="33"/>
      <c r="BJ141" s="33"/>
      <c r="BK141" s="33"/>
      <c r="BL141" s="34"/>
      <c r="BM141" s="33"/>
      <c r="BN141" s="35" t="str">
        <f t="shared" si="96"/>
        <v/>
      </c>
      <c r="BO141" s="36" t="str">
        <f t="shared" si="97"/>
        <v/>
      </c>
      <c r="BP141" s="33"/>
      <c r="BQ141" s="38"/>
      <c r="BR141" s="13"/>
      <c r="BS141" s="13"/>
      <c r="BT141" s="13"/>
      <c r="BU141" s="13"/>
      <c r="BV141" s="13"/>
      <c r="BW141" s="13"/>
      <c r="BX141" s="39" t="str">
        <f t="shared" si="98"/>
        <v/>
      </c>
      <c r="BY141" s="47"/>
      <c r="BZ141" s="48" t="str">
        <f t="shared" si="99"/>
        <v/>
      </c>
      <c r="CA141" s="47"/>
      <c r="CB141" s="47"/>
      <c r="CC141" s="47"/>
    </row>
    <row r="142" spans="1:81" ht="14.25" x14ac:dyDescent="0.45">
      <c r="A142" s="10"/>
      <c r="B142" s="10"/>
      <c r="C142" s="10"/>
      <c r="D142" s="10"/>
      <c r="E142" s="10"/>
      <c r="F142" s="10"/>
      <c r="G142" s="10"/>
      <c r="H142" s="25" t="str">
        <f>IFERROR(VLOOKUP(C142,'01_Поставщики'!$A$4:$M$11,2,FALSE()),"")</f>
        <v/>
      </c>
      <c r="I142" s="10"/>
      <c r="J142" s="25" t="str">
        <f>IFERROR(VLOOKUP(C142,'01_Поставщики'!$A$4:$M$11,8,FALSE()),"")</f>
        <v/>
      </c>
      <c r="K142" s="25" t="str">
        <f>IFERROR(VLOOKUP(C142,'01_Поставщики'!$A$4:$M$11,4,FALSE()),"")</f>
        <v/>
      </c>
      <c r="L142" s="25" t="str">
        <f>IFERROR(VLOOKUP(C142,'01_Поставщики'!$A$4:$M$11,10,FALSE()),"")</f>
        <v/>
      </c>
      <c r="M142" s="26" t="str">
        <f>IF(OR(A142="",B142=""),"",IFERROR(SUMIFS('04_Потребность'!$B$4:$B$103,'04_Потребность'!$A$4:$A$103,A142,'04_Потребность'!$C$4:$C$103,B142),0))</f>
        <v/>
      </c>
      <c r="N142" s="11"/>
      <c r="O142" s="10"/>
      <c r="P142" s="10"/>
      <c r="Q142" s="27"/>
      <c r="R142" s="27"/>
      <c r="S142" s="8"/>
      <c r="T142" s="8">
        <f>IFERROR(INDEX('02_Схемы оплаты'!$C$4:$C$19,MATCH($C142&amp;"|"&amp;$G142,'02_Схемы оплаты'!$H$4:$H$19,0)),0)</f>
        <v>0</v>
      </c>
      <c r="U142" s="11"/>
      <c r="V142" s="28"/>
      <c r="W142" s="8"/>
      <c r="X142" s="8">
        <f>IFERROR(INDEX('02_Схемы оплаты'!$D$4:$D$19,MATCH($C142&amp;"|"&amp;$G142,'02_Схемы оплаты'!$H$4:$H$19,0)),0)</f>
        <v>0</v>
      </c>
      <c r="Y142" s="11"/>
      <c r="Z142" s="28"/>
      <c r="AA142" s="8"/>
      <c r="AB142" s="8">
        <f>IFERROR(INDEX('02_Схемы оплаты'!$E$4:$E$19,MATCH($C142&amp;"|"&amp;$G142,'02_Схемы оплаты'!$H$4:$H$19,0)),0)</f>
        <v>0</v>
      </c>
      <c r="AC142" s="11"/>
      <c r="AD142" s="28"/>
      <c r="AE142" s="8"/>
      <c r="AF142" s="10"/>
      <c r="AG142" s="10"/>
      <c r="AH142" s="25">
        <f>IFERROR(SUMIFS('04_Потребность'!$D$4:$D$103,'04_Потребность'!$A$4:$A$103,A142,'04_Потребность'!$C$4:$C$103,B142),0)</f>
        <v>0</v>
      </c>
      <c r="AI142" s="26" t="str">
        <f>IF(OR(A142="",B142=""),"",IFERROR(SUMIFS('04_Потребность'!$E$4:$E$103,'04_Потребность'!$A$4:$A$103,A142,'04_Потребность'!$C$4:$C$103,B142),0))</f>
        <v/>
      </c>
      <c r="AJ142" s="25" t="str">
        <f>IF(OR(A142="",B142=""),"",IFERROR(SUMIFS('04_Потребность'!$F$4:$F$103,'04_Потребность'!$A$4:$A$103,A142,'04_Потребность'!$C$4:$C$103,B142),0))</f>
        <v/>
      </c>
      <c r="AK142" s="29" t="str">
        <f>IF(OR(A142="",B142=""),"",IFERROR(SUMIFS('04_Потребность'!$G$4:$G$103,'04_Потребность'!$A$4:$A$103,A142,'04_Потребность'!$C$4:$C$103,B142),0))</f>
        <v/>
      </c>
      <c r="AL142" s="25" t="str">
        <f>IF('03_Настройки'!$B$7="Нет","Нет",IF(COUNTIFS('04_Потребность'!$A$4:$A$103,A142,'04_Потребность'!$C$4:$C$103,B142,'04_Потребность'!$H$4:$H$103,"Да")&gt;0,"Да","Нет"))</f>
        <v>Нет</v>
      </c>
      <c r="AM142" s="30">
        <f t="shared" si="80"/>
        <v>0</v>
      </c>
      <c r="AN142" s="30">
        <f t="shared" si="81"/>
        <v>0</v>
      </c>
      <c r="AO142" s="29">
        <f t="shared" si="82"/>
        <v>0</v>
      </c>
      <c r="AP142" s="29">
        <f t="shared" si="83"/>
        <v>0</v>
      </c>
      <c r="AQ142" s="29">
        <f t="shared" si="84"/>
        <v>0</v>
      </c>
      <c r="AR142" s="29">
        <f>IFERROR(E142*'03_Настройки'!$B$4/365*(IF(T142&gt;0,T142*V142*(1+W142)*MAX(0,N142-U142),0)+IF(X142&gt;0,X142*Z142*(1+AA142)*MAX(0,N142-Y142),0)+IF(AB142&gt;0,AB142*AD142*(1+AE142)*MAX(0,N142-AC142),0)),0)</f>
        <v>0</v>
      </c>
      <c r="AS142" s="29">
        <f t="shared" si="85"/>
        <v>0</v>
      </c>
      <c r="AT142" s="31">
        <f t="shared" si="86"/>
        <v>0</v>
      </c>
      <c r="AU142" s="31">
        <f t="shared" si="87"/>
        <v>0</v>
      </c>
      <c r="AV142" s="32">
        <f t="shared" si="88"/>
        <v>0</v>
      </c>
      <c r="AW142" s="29" t="e">
        <f t="shared" si="89"/>
        <v>#VALUE!</v>
      </c>
      <c r="AX142" s="29">
        <f t="shared" si="90"/>
        <v>0</v>
      </c>
      <c r="AY142" s="29" t="e">
        <f t="shared" si="91"/>
        <v>#VALUE!</v>
      </c>
      <c r="AZ142" s="25" t="str">
        <f>IF(AND(A142&lt;&gt;"",B142&lt;&gt;"",C142&lt;&gt;"",D142&gt;0,E142&gt;0,N142&lt;&gt;"",AH142&gt;0,O142="Да",P142="Да",BZ142="ПОЛНО",ABS(AN142-1)&lt;='03_Настройки'!$B$5,IF(T142&gt;0,AND(U142&lt;&gt;"",V142&gt;0),TRUE()),IF(X142&gt;0,AND(Y142&lt;&gt;"",Z142&gt;0),TRUE()),IF(AB142&gt;0,AND(AC142&lt;&gt;"",AD142&gt;0),TRUE()),OR(BM142="",BM142="Активна")),"Да","Нет")</f>
        <v>Нет</v>
      </c>
      <c r="BA142" s="25" t="str">
        <f t="shared" si="92"/>
        <v>Нет</v>
      </c>
      <c r="BB142" s="25" t="str">
        <f t="shared" si="93"/>
        <v/>
      </c>
      <c r="BC142" s="25" t="str">
        <f t="shared" si="94"/>
        <v/>
      </c>
      <c r="BD142" s="25" t="str">
        <f t="shared" si="95"/>
        <v/>
      </c>
      <c r="BE142" s="25" t="str">
        <f>IF(A142="","",IF(BZ142&lt;&gt;"ПОЛНО","BLOCK: неполная форма",IF(O142&lt;&gt;"Да","BLOCK: ввоз не разрешён",IF(P142&lt;&gt;"Да","BLOCK: документы не подтверждены",IF(ABS(AN142-1)&gt;'03_Настройки'!$B$5,"BLOCK: платежи не 100%",IF(AND(BM142&lt;&gt;"",BM142&lt;&gt;"Активна"),"BLOCK: позиция "&amp;BM142,IF(BA142&lt;&gt;"Да","PARTIAL: не покрывает потребность",IF(BB142="ДА","самый дешёвый"&amp;IF(BC142="ДА"," + быстрый","")&amp;IF(BD142="ДА"," + optimal",""),IF(BC142="ДА","самый быстрый"&amp;IF(BD142="ДА"," + optimal",""),IF(BD142="ДА","optimal","Допущен"))))))))))</f>
        <v/>
      </c>
      <c r="BF142" s="25">
        <f>ROW()</f>
        <v>142</v>
      </c>
      <c r="BG142" s="33"/>
      <c r="BH142" s="33"/>
      <c r="BI142" s="33"/>
      <c r="BJ142" s="33"/>
      <c r="BK142" s="33"/>
      <c r="BL142" s="34"/>
      <c r="BM142" s="33"/>
      <c r="BN142" s="35" t="str">
        <f t="shared" si="96"/>
        <v/>
      </c>
      <c r="BO142" s="36" t="str">
        <f t="shared" si="97"/>
        <v/>
      </c>
      <c r="BP142" s="33"/>
      <c r="BQ142" s="38"/>
      <c r="BR142" s="13"/>
      <c r="BS142" s="13"/>
      <c r="BT142" s="13"/>
      <c r="BU142" s="13"/>
      <c r="BV142" s="13"/>
      <c r="BW142" s="13"/>
      <c r="BX142" s="39" t="str">
        <f t="shared" si="98"/>
        <v/>
      </c>
      <c r="BY142" s="47"/>
      <c r="BZ142" s="48" t="str">
        <f t="shared" si="99"/>
        <v/>
      </c>
      <c r="CA142" s="47"/>
      <c r="CB142" s="47"/>
      <c r="CC142" s="47"/>
    </row>
    <row r="143" spans="1:81" ht="14.25" x14ac:dyDescent="0.45">
      <c r="A143" s="10"/>
      <c r="B143" s="10"/>
      <c r="C143" s="10"/>
      <c r="D143" s="10"/>
      <c r="E143" s="10"/>
      <c r="F143" s="10"/>
      <c r="G143" s="10"/>
      <c r="H143" s="25" t="str">
        <f>IFERROR(VLOOKUP(C143,'01_Поставщики'!$A$4:$M$11,2,FALSE()),"")</f>
        <v/>
      </c>
      <c r="I143" s="10"/>
      <c r="J143" s="25" t="str">
        <f>IFERROR(VLOOKUP(C143,'01_Поставщики'!$A$4:$M$11,8,FALSE()),"")</f>
        <v/>
      </c>
      <c r="K143" s="25" t="str">
        <f>IFERROR(VLOOKUP(C143,'01_Поставщики'!$A$4:$M$11,4,FALSE()),"")</f>
        <v/>
      </c>
      <c r="L143" s="25" t="str">
        <f>IFERROR(VLOOKUP(C143,'01_Поставщики'!$A$4:$M$11,10,FALSE()),"")</f>
        <v/>
      </c>
      <c r="M143" s="26" t="str">
        <f>IF(OR(A143="",B143=""),"",IFERROR(SUMIFS('04_Потребность'!$B$4:$B$103,'04_Потребность'!$A$4:$A$103,A143,'04_Потребность'!$C$4:$C$103,B143),0))</f>
        <v/>
      </c>
      <c r="N143" s="11"/>
      <c r="O143" s="10"/>
      <c r="P143" s="10"/>
      <c r="Q143" s="27"/>
      <c r="R143" s="27"/>
      <c r="S143" s="8"/>
      <c r="T143" s="8">
        <f>IFERROR(INDEX('02_Схемы оплаты'!$C$4:$C$19,MATCH($C143&amp;"|"&amp;$G143,'02_Схемы оплаты'!$H$4:$H$19,0)),0)</f>
        <v>0</v>
      </c>
      <c r="U143" s="11"/>
      <c r="V143" s="28"/>
      <c r="W143" s="8"/>
      <c r="X143" s="8">
        <f>IFERROR(INDEX('02_Схемы оплаты'!$D$4:$D$19,MATCH($C143&amp;"|"&amp;$G143,'02_Схемы оплаты'!$H$4:$H$19,0)),0)</f>
        <v>0</v>
      </c>
      <c r="Y143" s="11"/>
      <c r="Z143" s="28"/>
      <c r="AA143" s="8"/>
      <c r="AB143" s="8">
        <f>IFERROR(INDEX('02_Схемы оплаты'!$E$4:$E$19,MATCH($C143&amp;"|"&amp;$G143,'02_Схемы оплаты'!$H$4:$H$19,0)),0)</f>
        <v>0</v>
      </c>
      <c r="AC143" s="11"/>
      <c r="AD143" s="28"/>
      <c r="AE143" s="8"/>
      <c r="AF143" s="10"/>
      <c r="AG143" s="10"/>
      <c r="AH143" s="25">
        <f>IFERROR(SUMIFS('04_Потребность'!$D$4:$D$103,'04_Потребность'!$A$4:$A$103,A143,'04_Потребность'!$C$4:$C$103,B143),0)</f>
        <v>0</v>
      </c>
      <c r="AI143" s="26" t="str">
        <f>IF(OR(A143="",B143=""),"",IFERROR(SUMIFS('04_Потребность'!$E$4:$E$103,'04_Потребность'!$A$4:$A$103,A143,'04_Потребность'!$C$4:$C$103,B143),0))</f>
        <v/>
      </c>
      <c r="AJ143" s="25" t="str">
        <f>IF(OR(A143="",B143=""),"",IFERROR(SUMIFS('04_Потребность'!$F$4:$F$103,'04_Потребность'!$A$4:$A$103,A143,'04_Потребность'!$C$4:$C$103,B143),0))</f>
        <v/>
      </c>
      <c r="AK143" s="29" t="str">
        <f>IF(OR(A143="",B143=""),"",IFERROR(SUMIFS('04_Потребность'!$G$4:$G$103,'04_Потребность'!$A$4:$A$103,A143,'04_Потребность'!$C$4:$C$103,B143),0))</f>
        <v/>
      </c>
      <c r="AL143" s="25" t="str">
        <f>IF('03_Настройки'!$B$7="Нет","Нет",IF(COUNTIFS('04_Потребность'!$A$4:$A$103,A143,'04_Потребность'!$C$4:$C$103,B143,'04_Потребность'!$H$4:$H$103,"Да")&gt;0,"Да","Нет"))</f>
        <v>Нет</v>
      </c>
      <c r="AM143" s="30">
        <f t="shared" si="80"/>
        <v>0</v>
      </c>
      <c r="AN143" s="30">
        <f t="shared" si="81"/>
        <v>0</v>
      </c>
      <c r="AO143" s="29">
        <f t="shared" si="82"/>
        <v>0</v>
      </c>
      <c r="AP143" s="29">
        <f t="shared" si="83"/>
        <v>0</v>
      </c>
      <c r="AQ143" s="29">
        <f t="shared" si="84"/>
        <v>0</v>
      </c>
      <c r="AR143" s="29">
        <f>IFERROR(E143*'03_Настройки'!$B$4/365*(IF(T143&gt;0,T143*V143*(1+W143)*MAX(0,N143-U143),0)+IF(X143&gt;0,X143*Z143*(1+AA143)*MAX(0,N143-Y143),0)+IF(AB143&gt;0,AB143*AD143*(1+AE143)*MAX(0,N143-AC143),0)),0)</f>
        <v>0</v>
      </c>
      <c r="AS143" s="29">
        <f t="shared" si="85"/>
        <v>0</v>
      </c>
      <c r="AT143" s="31">
        <f t="shared" si="86"/>
        <v>0</v>
      </c>
      <c r="AU143" s="31">
        <f t="shared" si="87"/>
        <v>0</v>
      </c>
      <c r="AV143" s="32">
        <f t="shared" si="88"/>
        <v>0</v>
      </c>
      <c r="AW143" s="29" t="e">
        <f t="shared" si="89"/>
        <v>#VALUE!</v>
      </c>
      <c r="AX143" s="29">
        <f t="shared" si="90"/>
        <v>0</v>
      </c>
      <c r="AY143" s="29" t="e">
        <f t="shared" si="91"/>
        <v>#VALUE!</v>
      </c>
      <c r="AZ143" s="25" t="str">
        <f>IF(AND(A143&lt;&gt;"",B143&lt;&gt;"",C143&lt;&gt;"",D143&gt;0,E143&gt;0,N143&lt;&gt;"",AH143&gt;0,O143="Да",P143="Да",BZ143="ПОЛНО",ABS(AN143-1)&lt;='03_Настройки'!$B$5,IF(T143&gt;0,AND(U143&lt;&gt;"",V143&gt;0),TRUE()),IF(X143&gt;0,AND(Y143&lt;&gt;"",Z143&gt;0),TRUE()),IF(AB143&gt;0,AND(AC143&lt;&gt;"",AD143&gt;0),TRUE()),OR(BM143="",BM143="Активна")),"Да","Нет")</f>
        <v>Нет</v>
      </c>
      <c r="BA143" s="25" t="str">
        <f t="shared" si="92"/>
        <v>Нет</v>
      </c>
      <c r="BB143" s="25" t="str">
        <f t="shared" si="93"/>
        <v/>
      </c>
      <c r="BC143" s="25" t="str">
        <f t="shared" si="94"/>
        <v/>
      </c>
      <c r="BD143" s="25" t="str">
        <f t="shared" si="95"/>
        <v/>
      </c>
      <c r="BE143" s="25" t="str">
        <f>IF(A143="","",IF(BZ143&lt;&gt;"ПОЛНО","BLOCK: неполная форма",IF(O143&lt;&gt;"Да","BLOCK: ввоз не разрешён",IF(P143&lt;&gt;"Да","BLOCK: документы не подтверждены",IF(ABS(AN143-1)&gt;'03_Настройки'!$B$5,"BLOCK: платежи не 100%",IF(AND(BM143&lt;&gt;"",BM143&lt;&gt;"Активна"),"BLOCK: позиция "&amp;BM143,IF(BA143&lt;&gt;"Да","PARTIAL: не покрывает потребность",IF(BB143="ДА","самый дешёвый"&amp;IF(BC143="ДА"," + быстрый","")&amp;IF(BD143="ДА"," + optimal",""),IF(BC143="ДА","самый быстрый"&amp;IF(BD143="ДА"," + optimal",""),IF(BD143="ДА","optimal","Допущен"))))))))))</f>
        <v/>
      </c>
      <c r="BF143" s="25">
        <f>ROW()</f>
        <v>143</v>
      </c>
      <c r="BG143" s="33"/>
      <c r="BH143" s="33"/>
      <c r="BI143" s="33"/>
      <c r="BJ143" s="33"/>
      <c r="BK143" s="33"/>
      <c r="BL143" s="34"/>
      <c r="BM143" s="33"/>
      <c r="BN143" s="35" t="str">
        <f t="shared" si="96"/>
        <v/>
      </c>
      <c r="BO143" s="36" t="str">
        <f t="shared" si="97"/>
        <v/>
      </c>
      <c r="BP143" s="33"/>
      <c r="BQ143" s="38"/>
      <c r="BR143" s="13"/>
      <c r="BS143" s="13"/>
      <c r="BT143" s="13"/>
      <c r="BU143" s="13"/>
      <c r="BV143" s="13"/>
      <c r="BW143" s="13"/>
      <c r="BX143" s="39" t="str">
        <f t="shared" si="98"/>
        <v/>
      </c>
      <c r="BY143" s="47"/>
      <c r="BZ143" s="48" t="str">
        <f t="shared" si="99"/>
        <v/>
      </c>
      <c r="CA143" s="47"/>
      <c r="CB143" s="47"/>
      <c r="CC143" s="47"/>
    </row>
    <row r="144" spans="1:81" ht="14.25" x14ac:dyDescent="0.45">
      <c r="A144" s="10"/>
      <c r="B144" s="10"/>
      <c r="C144" s="10"/>
      <c r="D144" s="10"/>
      <c r="E144" s="10"/>
      <c r="F144" s="10"/>
      <c r="G144" s="10"/>
      <c r="H144" s="25" t="str">
        <f>IFERROR(VLOOKUP(C144,'01_Поставщики'!$A$4:$M$11,2,FALSE()),"")</f>
        <v/>
      </c>
      <c r="I144" s="10"/>
      <c r="J144" s="25" t="str">
        <f>IFERROR(VLOOKUP(C144,'01_Поставщики'!$A$4:$M$11,8,FALSE()),"")</f>
        <v/>
      </c>
      <c r="K144" s="25" t="str">
        <f>IFERROR(VLOOKUP(C144,'01_Поставщики'!$A$4:$M$11,4,FALSE()),"")</f>
        <v/>
      </c>
      <c r="L144" s="25" t="str">
        <f>IFERROR(VLOOKUP(C144,'01_Поставщики'!$A$4:$M$11,10,FALSE()),"")</f>
        <v/>
      </c>
      <c r="M144" s="26" t="str">
        <f>IF(OR(A144="",B144=""),"",IFERROR(SUMIFS('04_Потребность'!$B$4:$B$103,'04_Потребность'!$A$4:$A$103,A144,'04_Потребность'!$C$4:$C$103,B144),0))</f>
        <v/>
      </c>
      <c r="N144" s="11"/>
      <c r="O144" s="10"/>
      <c r="P144" s="10"/>
      <c r="Q144" s="27"/>
      <c r="R144" s="27"/>
      <c r="S144" s="8"/>
      <c r="T144" s="8">
        <f>IFERROR(INDEX('02_Схемы оплаты'!$C$4:$C$19,MATCH($C144&amp;"|"&amp;$G144,'02_Схемы оплаты'!$H$4:$H$19,0)),0)</f>
        <v>0</v>
      </c>
      <c r="U144" s="11"/>
      <c r="V144" s="28"/>
      <c r="W144" s="8"/>
      <c r="X144" s="8">
        <f>IFERROR(INDEX('02_Схемы оплаты'!$D$4:$D$19,MATCH($C144&amp;"|"&amp;$G144,'02_Схемы оплаты'!$H$4:$H$19,0)),0)</f>
        <v>0</v>
      </c>
      <c r="Y144" s="11"/>
      <c r="Z144" s="28"/>
      <c r="AA144" s="8"/>
      <c r="AB144" s="8">
        <f>IFERROR(INDEX('02_Схемы оплаты'!$E$4:$E$19,MATCH($C144&amp;"|"&amp;$G144,'02_Схемы оплаты'!$H$4:$H$19,0)),0)</f>
        <v>0</v>
      </c>
      <c r="AC144" s="11"/>
      <c r="AD144" s="28"/>
      <c r="AE144" s="8"/>
      <c r="AF144" s="10"/>
      <c r="AG144" s="10"/>
      <c r="AH144" s="25">
        <f>IFERROR(SUMIFS('04_Потребность'!$D$4:$D$103,'04_Потребность'!$A$4:$A$103,A144,'04_Потребность'!$C$4:$C$103,B144),0)</f>
        <v>0</v>
      </c>
      <c r="AI144" s="26" t="str">
        <f>IF(OR(A144="",B144=""),"",IFERROR(SUMIFS('04_Потребность'!$E$4:$E$103,'04_Потребность'!$A$4:$A$103,A144,'04_Потребность'!$C$4:$C$103,B144),0))</f>
        <v/>
      </c>
      <c r="AJ144" s="25" t="str">
        <f>IF(OR(A144="",B144=""),"",IFERROR(SUMIFS('04_Потребность'!$F$4:$F$103,'04_Потребность'!$A$4:$A$103,A144,'04_Потребность'!$C$4:$C$103,B144),0))</f>
        <v/>
      </c>
      <c r="AK144" s="29" t="str">
        <f>IF(OR(A144="",B144=""),"",IFERROR(SUMIFS('04_Потребность'!$G$4:$G$103,'04_Потребность'!$A$4:$A$103,A144,'04_Потребность'!$C$4:$C$103,B144),0))</f>
        <v/>
      </c>
      <c r="AL144" s="25" t="str">
        <f>IF('03_Настройки'!$B$7="Нет","Нет",IF(COUNTIFS('04_Потребность'!$A$4:$A$103,A144,'04_Потребность'!$C$4:$C$103,B144,'04_Потребность'!$H$4:$H$103,"Да")&gt;0,"Да","Нет"))</f>
        <v>Нет</v>
      </c>
      <c r="AM144" s="30">
        <f t="shared" si="80"/>
        <v>0</v>
      </c>
      <c r="AN144" s="30">
        <f t="shared" si="81"/>
        <v>0</v>
      </c>
      <c r="AO144" s="29">
        <f t="shared" si="82"/>
        <v>0</v>
      </c>
      <c r="AP144" s="29">
        <f t="shared" si="83"/>
        <v>0</v>
      </c>
      <c r="AQ144" s="29">
        <f t="shared" si="84"/>
        <v>0</v>
      </c>
      <c r="AR144" s="29">
        <f>IFERROR(E144*'03_Настройки'!$B$4/365*(IF(T144&gt;0,T144*V144*(1+W144)*MAX(0,N144-U144),0)+IF(X144&gt;0,X144*Z144*(1+AA144)*MAX(0,N144-Y144),0)+IF(AB144&gt;0,AB144*AD144*(1+AE144)*MAX(0,N144-AC144),0)),0)</f>
        <v>0</v>
      </c>
      <c r="AS144" s="29">
        <f t="shared" si="85"/>
        <v>0</v>
      </c>
      <c r="AT144" s="31">
        <f t="shared" si="86"/>
        <v>0</v>
      </c>
      <c r="AU144" s="31">
        <f t="shared" si="87"/>
        <v>0</v>
      </c>
      <c r="AV144" s="32">
        <f t="shared" si="88"/>
        <v>0</v>
      </c>
      <c r="AW144" s="29" t="e">
        <f t="shared" si="89"/>
        <v>#VALUE!</v>
      </c>
      <c r="AX144" s="29">
        <f t="shared" si="90"/>
        <v>0</v>
      </c>
      <c r="AY144" s="29" t="e">
        <f t="shared" si="91"/>
        <v>#VALUE!</v>
      </c>
      <c r="AZ144" s="25" t="str">
        <f>IF(AND(A144&lt;&gt;"",B144&lt;&gt;"",C144&lt;&gt;"",D144&gt;0,E144&gt;0,N144&lt;&gt;"",AH144&gt;0,O144="Да",P144="Да",BZ144="ПОЛНО",ABS(AN144-1)&lt;='03_Настройки'!$B$5,IF(T144&gt;0,AND(U144&lt;&gt;"",V144&gt;0),TRUE()),IF(X144&gt;0,AND(Y144&lt;&gt;"",Z144&gt;0),TRUE()),IF(AB144&gt;0,AND(AC144&lt;&gt;"",AD144&gt;0),TRUE()),OR(BM144="",BM144="Активна")),"Да","Нет")</f>
        <v>Нет</v>
      </c>
      <c r="BA144" s="25" t="str">
        <f t="shared" si="92"/>
        <v>Нет</v>
      </c>
      <c r="BB144" s="25" t="str">
        <f t="shared" si="93"/>
        <v/>
      </c>
      <c r="BC144" s="25" t="str">
        <f t="shared" si="94"/>
        <v/>
      </c>
      <c r="BD144" s="25" t="str">
        <f t="shared" si="95"/>
        <v/>
      </c>
      <c r="BE144" s="25" t="str">
        <f>IF(A144="","",IF(BZ144&lt;&gt;"ПОЛНО","BLOCK: неполная форма",IF(O144&lt;&gt;"Да","BLOCK: ввоз не разрешён",IF(P144&lt;&gt;"Да","BLOCK: документы не подтверждены",IF(ABS(AN144-1)&gt;'03_Настройки'!$B$5,"BLOCK: платежи не 100%",IF(AND(BM144&lt;&gt;"",BM144&lt;&gt;"Активна"),"BLOCK: позиция "&amp;BM144,IF(BA144&lt;&gt;"Да","PARTIAL: не покрывает потребность",IF(BB144="ДА","самый дешёвый"&amp;IF(BC144="ДА"," + быстрый","")&amp;IF(BD144="ДА"," + optimal",""),IF(BC144="ДА","самый быстрый"&amp;IF(BD144="ДА"," + optimal",""),IF(BD144="ДА","optimal","Допущен"))))))))))</f>
        <v/>
      </c>
      <c r="BF144" s="25">
        <f>ROW()</f>
        <v>144</v>
      </c>
      <c r="BG144" s="33"/>
      <c r="BH144" s="33"/>
      <c r="BI144" s="33"/>
      <c r="BJ144" s="33"/>
      <c r="BK144" s="33"/>
      <c r="BL144" s="34"/>
      <c r="BM144" s="33"/>
      <c r="BN144" s="35" t="str">
        <f t="shared" si="96"/>
        <v/>
      </c>
      <c r="BO144" s="36" t="str">
        <f t="shared" si="97"/>
        <v/>
      </c>
      <c r="BP144" s="33"/>
      <c r="BQ144" s="38"/>
      <c r="BR144" s="13"/>
      <c r="BS144" s="13"/>
      <c r="BT144" s="13"/>
      <c r="BU144" s="13"/>
      <c r="BV144" s="13"/>
      <c r="BW144" s="13"/>
      <c r="BX144" s="39" t="str">
        <f t="shared" si="98"/>
        <v/>
      </c>
      <c r="BY144" s="47"/>
      <c r="BZ144" s="48" t="str">
        <f t="shared" si="99"/>
        <v/>
      </c>
      <c r="CA144" s="47"/>
      <c r="CB144" s="47"/>
      <c r="CC144" s="47"/>
    </row>
    <row r="145" spans="1:81" ht="14.25" x14ac:dyDescent="0.45">
      <c r="A145" s="10"/>
      <c r="B145" s="10"/>
      <c r="C145" s="10"/>
      <c r="D145" s="10"/>
      <c r="E145" s="10"/>
      <c r="F145" s="10"/>
      <c r="G145" s="10"/>
      <c r="H145" s="25" t="str">
        <f>IFERROR(VLOOKUP(C145,'01_Поставщики'!$A$4:$M$11,2,FALSE()),"")</f>
        <v/>
      </c>
      <c r="I145" s="10"/>
      <c r="J145" s="25" t="str">
        <f>IFERROR(VLOOKUP(C145,'01_Поставщики'!$A$4:$M$11,8,FALSE()),"")</f>
        <v/>
      </c>
      <c r="K145" s="25" t="str">
        <f>IFERROR(VLOOKUP(C145,'01_Поставщики'!$A$4:$M$11,4,FALSE()),"")</f>
        <v/>
      </c>
      <c r="L145" s="25" t="str">
        <f>IFERROR(VLOOKUP(C145,'01_Поставщики'!$A$4:$M$11,10,FALSE()),"")</f>
        <v/>
      </c>
      <c r="M145" s="26" t="str">
        <f>IF(OR(A145="",B145=""),"",IFERROR(SUMIFS('04_Потребность'!$B$4:$B$103,'04_Потребность'!$A$4:$A$103,A145,'04_Потребность'!$C$4:$C$103,B145),0))</f>
        <v/>
      </c>
      <c r="N145" s="11"/>
      <c r="O145" s="10"/>
      <c r="P145" s="10"/>
      <c r="Q145" s="27"/>
      <c r="R145" s="27"/>
      <c r="S145" s="8"/>
      <c r="T145" s="8">
        <f>IFERROR(INDEX('02_Схемы оплаты'!$C$4:$C$19,MATCH($C145&amp;"|"&amp;$G145,'02_Схемы оплаты'!$H$4:$H$19,0)),0)</f>
        <v>0</v>
      </c>
      <c r="U145" s="11"/>
      <c r="V145" s="28"/>
      <c r="W145" s="8"/>
      <c r="X145" s="8">
        <f>IFERROR(INDEX('02_Схемы оплаты'!$D$4:$D$19,MATCH($C145&amp;"|"&amp;$G145,'02_Схемы оплаты'!$H$4:$H$19,0)),0)</f>
        <v>0</v>
      </c>
      <c r="Y145" s="11"/>
      <c r="Z145" s="28"/>
      <c r="AA145" s="8"/>
      <c r="AB145" s="8">
        <f>IFERROR(INDEX('02_Схемы оплаты'!$E$4:$E$19,MATCH($C145&amp;"|"&amp;$G145,'02_Схемы оплаты'!$H$4:$H$19,0)),0)</f>
        <v>0</v>
      </c>
      <c r="AC145" s="11"/>
      <c r="AD145" s="28"/>
      <c r="AE145" s="8"/>
      <c r="AF145" s="10"/>
      <c r="AG145" s="10"/>
      <c r="AH145" s="25">
        <f>IFERROR(SUMIFS('04_Потребность'!$D$4:$D$103,'04_Потребность'!$A$4:$A$103,A145,'04_Потребность'!$C$4:$C$103,B145),0)</f>
        <v>0</v>
      </c>
      <c r="AI145" s="26" t="str">
        <f>IF(OR(A145="",B145=""),"",IFERROR(SUMIFS('04_Потребность'!$E$4:$E$103,'04_Потребность'!$A$4:$A$103,A145,'04_Потребность'!$C$4:$C$103,B145),0))</f>
        <v/>
      </c>
      <c r="AJ145" s="25" t="str">
        <f>IF(OR(A145="",B145=""),"",IFERROR(SUMIFS('04_Потребность'!$F$4:$F$103,'04_Потребность'!$A$4:$A$103,A145,'04_Потребность'!$C$4:$C$103,B145),0))</f>
        <v/>
      </c>
      <c r="AK145" s="29" t="str">
        <f>IF(OR(A145="",B145=""),"",IFERROR(SUMIFS('04_Потребность'!$G$4:$G$103,'04_Потребность'!$A$4:$A$103,A145,'04_Потребность'!$C$4:$C$103,B145),0))</f>
        <v/>
      </c>
      <c r="AL145" s="25" t="str">
        <f>IF('03_Настройки'!$B$7="Нет","Нет",IF(COUNTIFS('04_Потребность'!$A$4:$A$103,A145,'04_Потребность'!$C$4:$C$103,B145,'04_Потребность'!$H$4:$H$103,"Да")&gt;0,"Да","Нет"))</f>
        <v>Нет</v>
      </c>
      <c r="AM145" s="30">
        <f t="shared" si="80"/>
        <v>0</v>
      </c>
      <c r="AN145" s="30">
        <f t="shared" si="81"/>
        <v>0</v>
      </c>
      <c r="AO145" s="29">
        <f t="shared" si="82"/>
        <v>0</v>
      </c>
      <c r="AP145" s="29">
        <f t="shared" si="83"/>
        <v>0</v>
      </c>
      <c r="AQ145" s="29">
        <f t="shared" si="84"/>
        <v>0</v>
      </c>
      <c r="AR145" s="29">
        <f>IFERROR(E145*'03_Настройки'!$B$4/365*(IF(T145&gt;0,T145*V145*(1+W145)*MAX(0,N145-U145),0)+IF(X145&gt;0,X145*Z145*(1+AA145)*MAX(0,N145-Y145),0)+IF(AB145&gt;0,AB145*AD145*(1+AE145)*MAX(0,N145-AC145),0)),0)</f>
        <v>0</v>
      </c>
      <c r="AS145" s="29">
        <f t="shared" si="85"/>
        <v>0</v>
      </c>
      <c r="AT145" s="31">
        <f t="shared" si="86"/>
        <v>0</v>
      </c>
      <c r="AU145" s="31">
        <f t="shared" si="87"/>
        <v>0</v>
      </c>
      <c r="AV145" s="32">
        <f t="shared" si="88"/>
        <v>0</v>
      </c>
      <c r="AW145" s="29" t="e">
        <f t="shared" si="89"/>
        <v>#VALUE!</v>
      </c>
      <c r="AX145" s="29">
        <f t="shared" si="90"/>
        <v>0</v>
      </c>
      <c r="AY145" s="29" t="e">
        <f t="shared" si="91"/>
        <v>#VALUE!</v>
      </c>
      <c r="AZ145" s="25" t="str">
        <f>IF(AND(A145&lt;&gt;"",B145&lt;&gt;"",C145&lt;&gt;"",D145&gt;0,E145&gt;0,N145&lt;&gt;"",AH145&gt;0,O145="Да",P145="Да",BZ145="ПОЛНО",ABS(AN145-1)&lt;='03_Настройки'!$B$5,IF(T145&gt;0,AND(U145&lt;&gt;"",V145&gt;0),TRUE()),IF(X145&gt;0,AND(Y145&lt;&gt;"",Z145&gt;0),TRUE()),IF(AB145&gt;0,AND(AC145&lt;&gt;"",AD145&gt;0),TRUE()),OR(BM145="",BM145="Активна")),"Да","Нет")</f>
        <v>Нет</v>
      </c>
      <c r="BA145" s="25" t="str">
        <f t="shared" si="92"/>
        <v>Нет</v>
      </c>
      <c r="BB145" s="25" t="str">
        <f t="shared" si="93"/>
        <v/>
      </c>
      <c r="BC145" s="25" t="str">
        <f t="shared" si="94"/>
        <v/>
      </c>
      <c r="BD145" s="25" t="str">
        <f t="shared" si="95"/>
        <v/>
      </c>
      <c r="BE145" s="25" t="str">
        <f>IF(A145="","",IF(BZ145&lt;&gt;"ПОЛНО","BLOCK: неполная форма",IF(O145&lt;&gt;"Да","BLOCK: ввоз не разрешён",IF(P145&lt;&gt;"Да","BLOCK: документы не подтверждены",IF(ABS(AN145-1)&gt;'03_Настройки'!$B$5,"BLOCK: платежи не 100%",IF(AND(BM145&lt;&gt;"",BM145&lt;&gt;"Активна"),"BLOCK: позиция "&amp;BM145,IF(BA145&lt;&gt;"Да","PARTIAL: не покрывает потребность",IF(BB145="ДА","самый дешёвый"&amp;IF(BC145="ДА"," + быстрый","")&amp;IF(BD145="ДА"," + optimal",""),IF(BC145="ДА","самый быстрый"&amp;IF(BD145="ДА"," + optimal",""),IF(BD145="ДА","optimal","Допущен"))))))))))</f>
        <v/>
      </c>
      <c r="BF145" s="25">
        <f>ROW()</f>
        <v>145</v>
      </c>
      <c r="BG145" s="33"/>
      <c r="BH145" s="33"/>
      <c r="BI145" s="33"/>
      <c r="BJ145" s="33"/>
      <c r="BK145" s="33"/>
      <c r="BL145" s="34"/>
      <c r="BM145" s="33"/>
      <c r="BN145" s="35" t="str">
        <f t="shared" si="96"/>
        <v/>
      </c>
      <c r="BO145" s="36" t="str">
        <f t="shared" si="97"/>
        <v/>
      </c>
      <c r="BP145" s="33"/>
      <c r="BQ145" s="38"/>
      <c r="BR145" s="13"/>
      <c r="BS145" s="13"/>
      <c r="BT145" s="13"/>
      <c r="BU145" s="13"/>
      <c r="BV145" s="13"/>
      <c r="BW145" s="13"/>
      <c r="BX145" s="39" t="str">
        <f t="shared" si="98"/>
        <v/>
      </c>
      <c r="BY145" s="47"/>
      <c r="BZ145" s="48" t="str">
        <f t="shared" si="99"/>
        <v/>
      </c>
      <c r="CA145" s="47"/>
      <c r="CB145" s="47"/>
      <c r="CC145" s="47"/>
    </row>
    <row r="146" spans="1:81" ht="14.25" x14ac:dyDescent="0.45">
      <c r="A146" s="10"/>
      <c r="B146" s="10"/>
      <c r="C146" s="10"/>
      <c r="D146" s="10"/>
      <c r="E146" s="10"/>
      <c r="F146" s="10"/>
      <c r="G146" s="10"/>
      <c r="H146" s="25" t="str">
        <f>IFERROR(VLOOKUP(C146,'01_Поставщики'!$A$4:$M$11,2,FALSE()),"")</f>
        <v/>
      </c>
      <c r="I146" s="10"/>
      <c r="J146" s="25" t="str">
        <f>IFERROR(VLOOKUP(C146,'01_Поставщики'!$A$4:$M$11,8,FALSE()),"")</f>
        <v/>
      </c>
      <c r="K146" s="25" t="str">
        <f>IFERROR(VLOOKUP(C146,'01_Поставщики'!$A$4:$M$11,4,FALSE()),"")</f>
        <v/>
      </c>
      <c r="L146" s="25" t="str">
        <f>IFERROR(VLOOKUP(C146,'01_Поставщики'!$A$4:$M$11,10,FALSE()),"")</f>
        <v/>
      </c>
      <c r="M146" s="26" t="str">
        <f>IF(OR(A146="",B146=""),"",IFERROR(SUMIFS('04_Потребность'!$B$4:$B$103,'04_Потребность'!$A$4:$A$103,A146,'04_Потребность'!$C$4:$C$103,B146),0))</f>
        <v/>
      </c>
      <c r="N146" s="11"/>
      <c r="O146" s="10"/>
      <c r="P146" s="10"/>
      <c r="Q146" s="27"/>
      <c r="R146" s="27"/>
      <c r="S146" s="8"/>
      <c r="T146" s="8">
        <f>IFERROR(INDEX('02_Схемы оплаты'!$C$4:$C$19,MATCH($C146&amp;"|"&amp;$G146,'02_Схемы оплаты'!$H$4:$H$19,0)),0)</f>
        <v>0</v>
      </c>
      <c r="U146" s="11"/>
      <c r="V146" s="28"/>
      <c r="W146" s="8"/>
      <c r="X146" s="8">
        <f>IFERROR(INDEX('02_Схемы оплаты'!$D$4:$D$19,MATCH($C146&amp;"|"&amp;$G146,'02_Схемы оплаты'!$H$4:$H$19,0)),0)</f>
        <v>0</v>
      </c>
      <c r="Y146" s="11"/>
      <c r="Z146" s="28"/>
      <c r="AA146" s="8"/>
      <c r="AB146" s="8">
        <f>IFERROR(INDEX('02_Схемы оплаты'!$E$4:$E$19,MATCH($C146&amp;"|"&amp;$G146,'02_Схемы оплаты'!$H$4:$H$19,0)),0)</f>
        <v>0</v>
      </c>
      <c r="AC146" s="11"/>
      <c r="AD146" s="28"/>
      <c r="AE146" s="8"/>
      <c r="AF146" s="10"/>
      <c r="AG146" s="10"/>
      <c r="AH146" s="25">
        <f>IFERROR(SUMIFS('04_Потребность'!$D$4:$D$103,'04_Потребность'!$A$4:$A$103,A146,'04_Потребность'!$C$4:$C$103,B146),0)</f>
        <v>0</v>
      </c>
      <c r="AI146" s="26" t="str">
        <f>IF(OR(A146="",B146=""),"",IFERROR(SUMIFS('04_Потребность'!$E$4:$E$103,'04_Потребность'!$A$4:$A$103,A146,'04_Потребность'!$C$4:$C$103,B146),0))</f>
        <v/>
      </c>
      <c r="AJ146" s="25" t="str">
        <f>IF(OR(A146="",B146=""),"",IFERROR(SUMIFS('04_Потребность'!$F$4:$F$103,'04_Потребность'!$A$4:$A$103,A146,'04_Потребность'!$C$4:$C$103,B146),0))</f>
        <v/>
      </c>
      <c r="AK146" s="29" t="str">
        <f>IF(OR(A146="",B146=""),"",IFERROR(SUMIFS('04_Потребность'!$G$4:$G$103,'04_Потребность'!$A$4:$A$103,A146,'04_Потребность'!$C$4:$C$103,B146),0))</f>
        <v/>
      </c>
      <c r="AL146" s="25" t="str">
        <f>IF('03_Настройки'!$B$7="Нет","Нет",IF(COUNTIFS('04_Потребность'!$A$4:$A$103,A146,'04_Потребность'!$C$4:$C$103,B146,'04_Потребность'!$H$4:$H$103,"Да")&gt;0,"Да","Нет"))</f>
        <v>Нет</v>
      </c>
      <c r="AM146" s="30">
        <f t="shared" si="80"/>
        <v>0</v>
      </c>
      <c r="AN146" s="30">
        <f t="shared" si="81"/>
        <v>0</v>
      </c>
      <c r="AO146" s="29">
        <f t="shared" si="82"/>
        <v>0</v>
      </c>
      <c r="AP146" s="29">
        <f t="shared" si="83"/>
        <v>0</v>
      </c>
      <c r="AQ146" s="29">
        <f t="shared" si="84"/>
        <v>0</v>
      </c>
      <c r="AR146" s="29">
        <f>IFERROR(E146*'03_Настройки'!$B$4/365*(IF(T146&gt;0,T146*V146*(1+W146)*MAX(0,N146-U146),0)+IF(X146&gt;0,X146*Z146*(1+AA146)*MAX(0,N146-Y146),0)+IF(AB146&gt;0,AB146*AD146*(1+AE146)*MAX(0,N146-AC146),0)),0)</f>
        <v>0</v>
      </c>
      <c r="AS146" s="29">
        <f t="shared" si="85"/>
        <v>0</v>
      </c>
      <c r="AT146" s="31">
        <f t="shared" si="86"/>
        <v>0</v>
      </c>
      <c r="AU146" s="31">
        <f t="shared" si="87"/>
        <v>0</v>
      </c>
      <c r="AV146" s="32">
        <f t="shared" si="88"/>
        <v>0</v>
      </c>
      <c r="AW146" s="29" t="e">
        <f t="shared" si="89"/>
        <v>#VALUE!</v>
      </c>
      <c r="AX146" s="29">
        <f t="shared" si="90"/>
        <v>0</v>
      </c>
      <c r="AY146" s="29" t="e">
        <f t="shared" si="91"/>
        <v>#VALUE!</v>
      </c>
      <c r="AZ146" s="25" t="str">
        <f>IF(AND(A146&lt;&gt;"",B146&lt;&gt;"",C146&lt;&gt;"",D146&gt;0,E146&gt;0,N146&lt;&gt;"",AH146&gt;0,O146="Да",P146="Да",BZ146="ПОЛНО",ABS(AN146-1)&lt;='03_Настройки'!$B$5,IF(T146&gt;0,AND(U146&lt;&gt;"",V146&gt;0),TRUE()),IF(X146&gt;0,AND(Y146&lt;&gt;"",Z146&gt;0),TRUE()),IF(AB146&gt;0,AND(AC146&lt;&gt;"",AD146&gt;0),TRUE()),OR(BM146="",BM146="Активна")),"Да","Нет")</f>
        <v>Нет</v>
      </c>
      <c r="BA146" s="25" t="str">
        <f t="shared" si="92"/>
        <v>Нет</v>
      </c>
      <c r="BB146" s="25" t="str">
        <f t="shared" si="93"/>
        <v/>
      </c>
      <c r="BC146" s="25" t="str">
        <f t="shared" si="94"/>
        <v/>
      </c>
      <c r="BD146" s="25" t="str">
        <f t="shared" si="95"/>
        <v/>
      </c>
      <c r="BE146" s="25" t="str">
        <f>IF(A146="","",IF(BZ146&lt;&gt;"ПОЛНО","BLOCK: неполная форма",IF(O146&lt;&gt;"Да","BLOCK: ввоз не разрешён",IF(P146&lt;&gt;"Да","BLOCK: документы не подтверждены",IF(ABS(AN146-1)&gt;'03_Настройки'!$B$5,"BLOCK: платежи не 100%",IF(AND(BM146&lt;&gt;"",BM146&lt;&gt;"Активна"),"BLOCK: позиция "&amp;BM146,IF(BA146&lt;&gt;"Да","PARTIAL: не покрывает потребность",IF(BB146="ДА","самый дешёвый"&amp;IF(BC146="ДА"," + быстрый","")&amp;IF(BD146="ДА"," + optimal",""),IF(BC146="ДА","самый быстрый"&amp;IF(BD146="ДА"," + optimal",""),IF(BD146="ДА","optimal","Допущен"))))))))))</f>
        <v/>
      </c>
      <c r="BF146" s="25">
        <f>ROW()</f>
        <v>146</v>
      </c>
      <c r="BG146" s="33"/>
      <c r="BH146" s="33"/>
      <c r="BI146" s="33"/>
      <c r="BJ146" s="33"/>
      <c r="BK146" s="33"/>
      <c r="BL146" s="34"/>
      <c r="BM146" s="33"/>
      <c r="BN146" s="35" t="str">
        <f t="shared" si="96"/>
        <v/>
      </c>
      <c r="BO146" s="36" t="str">
        <f t="shared" si="97"/>
        <v/>
      </c>
      <c r="BP146" s="33"/>
      <c r="BQ146" s="38"/>
      <c r="BR146" s="13"/>
      <c r="BS146" s="13"/>
      <c r="BT146" s="13"/>
      <c r="BU146" s="13"/>
      <c r="BV146" s="13"/>
      <c r="BW146" s="13"/>
      <c r="BX146" s="39" t="str">
        <f t="shared" si="98"/>
        <v/>
      </c>
      <c r="BY146" s="47"/>
      <c r="BZ146" s="48" t="str">
        <f t="shared" si="99"/>
        <v/>
      </c>
      <c r="CA146" s="47"/>
      <c r="CB146" s="47"/>
      <c r="CC146" s="47"/>
    </row>
    <row r="147" spans="1:81" ht="14.25" x14ac:dyDescent="0.45">
      <c r="A147" s="10"/>
      <c r="B147" s="10"/>
      <c r="C147" s="10"/>
      <c r="D147" s="10"/>
      <c r="E147" s="10"/>
      <c r="F147" s="10"/>
      <c r="G147" s="10"/>
      <c r="H147" s="25" t="str">
        <f>IFERROR(VLOOKUP(C147,'01_Поставщики'!$A$4:$M$11,2,FALSE()),"")</f>
        <v/>
      </c>
      <c r="I147" s="10"/>
      <c r="J147" s="25" t="str">
        <f>IFERROR(VLOOKUP(C147,'01_Поставщики'!$A$4:$M$11,8,FALSE()),"")</f>
        <v/>
      </c>
      <c r="K147" s="25" t="str">
        <f>IFERROR(VLOOKUP(C147,'01_Поставщики'!$A$4:$M$11,4,FALSE()),"")</f>
        <v/>
      </c>
      <c r="L147" s="25" t="str">
        <f>IFERROR(VLOOKUP(C147,'01_Поставщики'!$A$4:$M$11,10,FALSE()),"")</f>
        <v/>
      </c>
      <c r="M147" s="26" t="str">
        <f>IF(OR(A147="",B147=""),"",IFERROR(SUMIFS('04_Потребность'!$B$4:$B$103,'04_Потребность'!$A$4:$A$103,A147,'04_Потребность'!$C$4:$C$103,B147),0))</f>
        <v/>
      </c>
      <c r="N147" s="11"/>
      <c r="O147" s="10"/>
      <c r="P147" s="10"/>
      <c r="Q147" s="27"/>
      <c r="R147" s="27"/>
      <c r="S147" s="8"/>
      <c r="T147" s="8">
        <f>IFERROR(INDEX('02_Схемы оплаты'!$C$4:$C$19,MATCH($C147&amp;"|"&amp;$G147,'02_Схемы оплаты'!$H$4:$H$19,0)),0)</f>
        <v>0</v>
      </c>
      <c r="U147" s="11"/>
      <c r="V147" s="28"/>
      <c r="W147" s="8"/>
      <c r="X147" s="8">
        <f>IFERROR(INDEX('02_Схемы оплаты'!$D$4:$D$19,MATCH($C147&amp;"|"&amp;$G147,'02_Схемы оплаты'!$H$4:$H$19,0)),0)</f>
        <v>0</v>
      </c>
      <c r="Y147" s="11"/>
      <c r="Z147" s="28"/>
      <c r="AA147" s="8"/>
      <c r="AB147" s="8">
        <f>IFERROR(INDEX('02_Схемы оплаты'!$E$4:$E$19,MATCH($C147&amp;"|"&amp;$G147,'02_Схемы оплаты'!$H$4:$H$19,0)),0)</f>
        <v>0</v>
      </c>
      <c r="AC147" s="11"/>
      <c r="AD147" s="28"/>
      <c r="AE147" s="8"/>
      <c r="AF147" s="10"/>
      <c r="AG147" s="10"/>
      <c r="AH147" s="25">
        <f>IFERROR(SUMIFS('04_Потребность'!$D$4:$D$103,'04_Потребность'!$A$4:$A$103,A147,'04_Потребность'!$C$4:$C$103,B147),0)</f>
        <v>0</v>
      </c>
      <c r="AI147" s="26" t="str">
        <f>IF(OR(A147="",B147=""),"",IFERROR(SUMIFS('04_Потребность'!$E$4:$E$103,'04_Потребность'!$A$4:$A$103,A147,'04_Потребность'!$C$4:$C$103,B147),0))</f>
        <v/>
      </c>
      <c r="AJ147" s="25" t="str">
        <f>IF(OR(A147="",B147=""),"",IFERROR(SUMIFS('04_Потребность'!$F$4:$F$103,'04_Потребность'!$A$4:$A$103,A147,'04_Потребность'!$C$4:$C$103,B147),0))</f>
        <v/>
      </c>
      <c r="AK147" s="29" t="str">
        <f>IF(OR(A147="",B147=""),"",IFERROR(SUMIFS('04_Потребность'!$G$4:$G$103,'04_Потребность'!$A$4:$A$103,A147,'04_Потребность'!$C$4:$C$103,B147),0))</f>
        <v/>
      </c>
      <c r="AL147" s="25" t="str">
        <f>IF('03_Настройки'!$B$7="Нет","Нет",IF(COUNTIFS('04_Потребность'!$A$4:$A$103,A147,'04_Потребность'!$C$4:$C$103,B147,'04_Потребность'!$H$4:$H$103,"Да")&gt;0,"Да","Нет"))</f>
        <v>Нет</v>
      </c>
      <c r="AM147" s="30">
        <f t="shared" si="80"/>
        <v>0</v>
      </c>
      <c r="AN147" s="30">
        <f t="shared" si="81"/>
        <v>0</v>
      </c>
      <c r="AO147" s="29">
        <f t="shared" si="82"/>
        <v>0</v>
      </c>
      <c r="AP147" s="29">
        <f t="shared" si="83"/>
        <v>0</v>
      </c>
      <c r="AQ147" s="29">
        <f t="shared" si="84"/>
        <v>0</v>
      </c>
      <c r="AR147" s="29">
        <f>IFERROR(E147*'03_Настройки'!$B$4/365*(IF(T147&gt;0,T147*V147*(1+W147)*MAX(0,N147-U147),0)+IF(X147&gt;0,X147*Z147*(1+AA147)*MAX(0,N147-Y147),0)+IF(AB147&gt;0,AB147*AD147*(1+AE147)*MAX(0,N147-AC147),0)),0)</f>
        <v>0</v>
      </c>
      <c r="AS147" s="29">
        <f t="shared" si="85"/>
        <v>0</v>
      </c>
      <c r="AT147" s="31">
        <f t="shared" si="86"/>
        <v>0</v>
      </c>
      <c r="AU147" s="31">
        <f t="shared" si="87"/>
        <v>0</v>
      </c>
      <c r="AV147" s="32">
        <f t="shared" si="88"/>
        <v>0</v>
      </c>
      <c r="AW147" s="29" t="e">
        <f t="shared" si="89"/>
        <v>#VALUE!</v>
      </c>
      <c r="AX147" s="29">
        <f t="shared" si="90"/>
        <v>0</v>
      </c>
      <c r="AY147" s="29" t="e">
        <f t="shared" si="91"/>
        <v>#VALUE!</v>
      </c>
      <c r="AZ147" s="25" t="str">
        <f>IF(AND(A147&lt;&gt;"",B147&lt;&gt;"",C147&lt;&gt;"",D147&gt;0,E147&gt;0,N147&lt;&gt;"",AH147&gt;0,O147="Да",P147="Да",BZ147="ПОЛНО",ABS(AN147-1)&lt;='03_Настройки'!$B$5,IF(T147&gt;0,AND(U147&lt;&gt;"",V147&gt;0),TRUE()),IF(X147&gt;0,AND(Y147&lt;&gt;"",Z147&gt;0),TRUE()),IF(AB147&gt;0,AND(AC147&lt;&gt;"",AD147&gt;0),TRUE()),OR(BM147="",BM147="Активна")),"Да","Нет")</f>
        <v>Нет</v>
      </c>
      <c r="BA147" s="25" t="str">
        <f t="shared" si="92"/>
        <v>Нет</v>
      </c>
      <c r="BB147" s="25" t="str">
        <f t="shared" si="93"/>
        <v/>
      </c>
      <c r="BC147" s="25" t="str">
        <f t="shared" si="94"/>
        <v/>
      </c>
      <c r="BD147" s="25" t="str">
        <f t="shared" si="95"/>
        <v/>
      </c>
      <c r="BE147" s="25" t="str">
        <f>IF(A147="","",IF(BZ147&lt;&gt;"ПОЛНО","BLOCK: неполная форма",IF(O147&lt;&gt;"Да","BLOCK: ввоз не разрешён",IF(P147&lt;&gt;"Да","BLOCK: документы не подтверждены",IF(ABS(AN147-1)&gt;'03_Настройки'!$B$5,"BLOCK: платежи не 100%",IF(AND(BM147&lt;&gt;"",BM147&lt;&gt;"Активна"),"BLOCK: позиция "&amp;BM147,IF(BA147&lt;&gt;"Да","PARTIAL: не покрывает потребность",IF(BB147="ДА","самый дешёвый"&amp;IF(BC147="ДА"," + быстрый","")&amp;IF(BD147="ДА"," + optimal",""),IF(BC147="ДА","самый быстрый"&amp;IF(BD147="ДА"," + optimal",""),IF(BD147="ДА","optimal","Допущен"))))))))))</f>
        <v/>
      </c>
      <c r="BF147" s="25">
        <f>ROW()</f>
        <v>147</v>
      </c>
      <c r="BG147" s="33"/>
      <c r="BH147" s="33"/>
      <c r="BI147" s="33"/>
      <c r="BJ147" s="33"/>
      <c r="BK147" s="33"/>
      <c r="BL147" s="34"/>
      <c r="BM147" s="33"/>
      <c r="BN147" s="35" t="str">
        <f t="shared" si="96"/>
        <v/>
      </c>
      <c r="BO147" s="36" t="str">
        <f t="shared" si="97"/>
        <v/>
      </c>
      <c r="BP147" s="33"/>
      <c r="BQ147" s="38"/>
      <c r="BR147" s="13"/>
      <c r="BS147" s="13"/>
      <c r="BT147" s="13"/>
      <c r="BU147" s="13"/>
      <c r="BV147" s="13"/>
      <c r="BW147" s="13"/>
      <c r="BX147" s="39" t="str">
        <f t="shared" si="98"/>
        <v/>
      </c>
      <c r="BY147" s="47"/>
      <c r="BZ147" s="48" t="str">
        <f t="shared" si="99"/>
        <v/>
      </c>
      <c r="CA147" s="47"/>
      <c r="CB147" s="47"/>
      <c r="CC147" s="47"/>
    </row>
    <row r="148" spans="1:81" ht="14.25" x14ac:dyDescent="0.45">
      <c r="A148" s="10"/>
      <c r="B148" s="10"/>
      <c r="C148" s="10"/>
      <c r="D148" s="10"/>
      <c r="E148" s="10"/>
      <c r="F148" s="10"/>
      <c r="G148" s="10"/>
      <c r="H148" s="25" t="str">
        <f>IFERROR(VLOOKUP(C148,'01_Поставщики'!$A$4:$M$11,2,FALSE()),"")</f>
        <v/>
      </c>
      <c r="I148" s="10"/>
      <c r="J148" s="25" t="str">
        <f>IFERROR(VLOOKUP(C148,'01_Поставщики'!$A$4:$M$11,8,FALSE()),"")</f>
        <v/>
      </c>
      <c r="K148" s="25" t="str">
        <f>IFERROR(VLOOKUP(C148,'01_Поставщики'!$A$4:$M$11,4,FALSE()),"")</f>
        <v/>
      </c>
      <c r="L148" s="25" t="str">
        <f>IFERROR(VLOOKUP(C148,'01_Поставщики'!$A$4:$M$11,10,FALSE()),"")</f>
        <v/>
      </c>
      <c r="M148" s="26" t="str">
        <f>IF(OR(A148="",B148=""),"",IFERROR(SUMIFS('04_Потребность'!$B$4:$B$103,'04_Потребность'!$A$4:$A$103,A148,'04_Потребность'!$C$4:$C$103,B148),0))</f>
        <v/>
      </c>
      <c r="N148" s="11"/>
      <c r="O148" s="10"/>
      <c r="P148" s="10"/>
      <c r="Q148" s="27"/>
      <c r="R148" s="27"/>
      <c r="S148" s="8"/>
      <c r="T148" s="8">
        <f>IFERROR(INDEX('02_Схемы оплаты'!$C$4:$C$19,MATCH($C148&amp;"|"&amp;$G148,'02_Схемы оплаты'!$H$4:$H$19,0)),0)</f>
        <v>0</v>
      </c>
      <c r="U148" s="11"/>
      <c r="V148" s="28"/>
      <c r="W148" s="8"/>
      <c r="X148" s="8">
        <f>IFERROR(INDEX('02_Схемы оплаты'!$D$4:$D$19,MATCH($C148&amp;"|"&amp;$G148,'02_Схемы оплаты'!$H$4:$H$19,0)),0)</f>
        <v>0</v>
      </c>
      <c r="Y148" s="11"/>
      <c r="Z148" s="28"/>
      <c r="AA148" s="8"/>
      <c r="AB148" s="8">
        <f>IFERROR(INDEX('02_Схемы оплаты'!$E$4:$E$19,MATCH($C148&amp;"|"&amp;$G148,'02_Схемы оплаты'!$H$4:$H$19,0)),0)</f>
        <v>0</v>
      </c>
      <c r="AC148" s="11"/>
      <c r="AD148" s="28"/>
      <c r="AE148" s="8"/>
      <c r="AF148" s="10"/>
      <c r="AG148" s="10"/>
      <c r="AH148" s="25">
        <f>IFERROR(SUMIFS('04_Потребность'!$D$4:$D$103,'04_Потребность'!$A$4:$A$103,A148,'04_Потребность'!$C$4:$C$103,B148),0)</f>
        <v>0</v>
      </c>
      <c r="AI148" s="26" t="str">
        <f>IF(OR(A148="",B148=""),"",IFERROR(SUMIFS('04_Потребность'!$E$4:$E$103,'04_Потребность'!$A$4:$A$103,A148,'04_Потребность'!$C$4:$C$103,B148),0))</f>
        <v/>
      </c>
      <c r="AJ148" s="25" t="str">
        <f>IF(OR(A148="",B148=""),"",IFERROR(SUMIFS('04_Потребность'!$F$4:$F$103,'04_Потребность'!$A$4:$A$103,A148,'04_Потребность'!$C$4:$C$103,B148),0))</f>
        <v/>
      </c>
      <c r="AK148" s="29" t="str">
        <f>IF(OR(A148="",B148=""),"",IFERROR(SUMIFS('04_Потребность'!$G$4:$G$103,'04_Потребность'!$A$4:$A$103,A148,'04_Потребность'!$C$4:$C$103,B148),0))</f>
        <v/>
      </c>
      <c r="AL148" s="25" t="str">
        <f>IF('03_Настройки'!$B$7="Нет","Нет",IF(COUNTIFS('04_Потребность'!$A$4:$A$103,A148,'04_Потребность'!$C$4:$C$103,B148,'04_Потребность'!$H$4:$H$103,"Да")&gt;0,"Да","Нет"))</f>
        <v>Нет</v>
      </c>
      <c r="AM148" s="30">
        <f t="shared" si="80"/>
        <v>0</v>
      </c>
      <c r="AN148" s="30">
        <f t="shared" si="81"/>
        <v>0</v>
      </c>
      <c r="AO148" s="29">
        <f t="shared" si="82"/>
        <v>0</v>
      </c>
      <c r="AP148" s="29">
        <f t="shared" si="83"/>
        <v>0</v>
      </c>
      <c r="AQ148" s="29">
        <f t="shared" si="84"/>
        <v>0</v>
      </c>
      <c r="AR148" s="29">
        <f>IFERROR(E148*'03_Настройки'!$B$4/365*(IF(T148&gt;0,T148*V148*(1+W148)*MAX(0,N148-U148),0)+IF(X148&gt;0,X148*Z148*(1+AA148)*MAX(0,N148-Y148),0)+IF(AB148&gt;0,AB148*AD148*(1+AE148)*MAX(0,N148-AC148),0)),0)</f>
        <v>0</v>
      </c>
      <c r="AS148" s="29">
        <f t="shared" si="85"/>
        <v>0</v>
      </c>
      <c r="AT148" s="31">
        <f t="shared" si="86"/>
        <v>0</v>
      </c>
      <c r="AU148" s="31">
        <f t="shared" si="87"/>
        <v>0</v>
      </c>
      <c r="AV148" s="32">
        <f t="shared" si="88"/>
        <v>0</v>
      </c>
      <c r="AW148" s="29" t="e">
        <f t="shared" si="89"/>
        <v>#VALUE!</v>
      </c>
      <c r="AX148" s="29">
        <f t="shared" si="90"/>
        <v>0</v>
      </c>
      <c r="AY148" s="29" t="e">
        <f t="shared" si="91"/>
        <v>#VALUE!</v>
      </c>
      <c r="AZ148" s="25" t="str">
        <f>IF(AND(A148&lt;&gt;"",B148&lt;&gt;"",C148&lt;&gt;"",D148&gt;0,E148&gt;0,N148&lt;&gt;"",AH148&gt;0,O148="Да",P148="Да",BZ148="ПОЛНО",ABS(AN148-1)&lt;='03_Настройки'!$B$5,IF(T148&gt;0,AND(U148&lt;&gt;"",V148&gt;0),TRUE()),IF(X148&gt;0,AND(Y148&lt;&gt;"",Z148&gt;0),TRUE()),IF(AB148&gt;0,AND(AC148&lt;&gt;"",AD148&gt;0),TRUE()),OR(BM148="",BM148="Активна")),"Да","Нет")</f>
        <v>Нет</v>
      </c>
      <c r="BA148" s="25" t="str">
        <f t="shared" si="92"/>
        <v>Нет</v>
      </c>
      <c r="BB148" s="25" t="str">
        <f t="shared" si="93"/>
        <v/>
      </c>
      <c r="BC148" s="25" t="str">
        <f t="shared" si="94"/>
        <v/>
      </c>
      <c r="BD148" s="25" t="str">
        <f t="shared" si="95"/>
        <v/>
      </c>
      <c r="BE148" s="25" t="str">
        <f>IF(A148="","",IF(BZ148&lt;&gt;"ПОЛНО","BLOCK: неполная форма",IF(O148&lt;&gt;"Да","BLOCK: ввоз не разрешён",IF(P148&lt;&gt;"Да","BLOCK: документы не подтверждены",IF(ABS(AN148-1)&gt;'03_Настройки'!$B$5,"BLOCK: платежи не 100%",IF(AND(BM148&lt;&gt;"",BM148&lt;&gt;"Активна"),"BLOCK: позиция "&amp;BM148,IF(BA148&lt;&gt;"Да","PARTIAL: не покрывает потребность",IF(BB148="ДА","самый дешёвый"&amp;IF(BC148="ДА"," + быстрый","")&amp;IF(BD148="ДА"," + optimal",""),IF(BC148="ДА","самый быстрый"&amp;IF(BD148="ДА"," + optimal",""),IF(BD148="ДА","optimal","Допущен"))))))))))</f>
        <v/>
      </c>
      <c r="BF148" s="25">
        <f>ROW()</f>
        <v>148</v>
      </c>
      <c r="BG148" s="33"/>
      <c r="BH148" s="33"/>
      <c r="BI148" s="33"/>
      <c r="BJ148" s="33"/>
      <c r="BK148" s="33"/>
      <c r="BL148" s="34"/>
      <c r="BM148" s="33"/>
      <c r="BN148" s="35" t="str">
        <f t="shared" si="96"/>
        <v/>
      </c>
      <c r="BO148" s="36" t="str">
        <f t="shared" si="97"/>
        <v/>
      </c>
      <c r="BP148" s="33"/>
      <c r="BQ148" s="38"/>
      <c r="BR148" s="13"/>
      <c r="BS148" s="13"/>
      <c r="BT148" s="13"/>
      <c r="BU148" s="13"/>
      <c r="BV148" s="13"/>
      <c r="BW148" s="13"/>
      <c r="BX148" s="39" t="str">
        <f t="shared" si="98"/>
        <v/>
      </c>
      <c r="BY148" s="47"/>
      <c r="BZ148" s="48" t="str">
        <f t="shared" si="99"/>
        <v/>
      </c>
      <c r="CA148" s="47"/>
      <c r="CB148" s="47"/>
      <c r="CC148" s="47"/>
    </row>
    <row r="149" spans="1:81" ht="14.25" x14ac:dyDescent="0.45">
      <c r="A149" s="10"/>
      <c r="B149" s="10"/>
      <c r="C149" s="10"/>
      <c r="D149" s="10"/>
      <c r="E149" s="10"/>
      <c r="F149" s="10"/>
      <c r="G149" s="10"/>
      <c r="H149" s="25" t="str">
        <f>IFERROR(VLOOKUP(C149,'01_Поставщики'!$A$4:$M$11,2,FALSE()),"")</f>
        <v/>
      </c>
      <c r="I149" s="10"/>
      <c r="J149" s="25" t="str">
        <f>IFERROR(VLOOKUP(C149,'01_Поставщики'!$A$4:$M$11,8,FALSE()),"")</f>
        <v/>
      </c>
      <c r="K149" s="25" t="str">
        <f>IFERROR(VLOOKUP(C149,'01_Поставщики'!$A$4:$M$11,4,FALSE()),"")</f>
        <v/>
      </c>
      <c r="L149" s="25" t="str">
        <f>IFERROR(VLOOKUP(C149,'01_Поставщики'!$A$4:$M$11,10,FALSE()),"")</f>
        <v/>
      </c>
      <c r="M149" s="26" t="str">
        <f>IF(OR(A149="",B149=""),"",IFERROR(SUMIFS('04_Потребность'!$B$4:$B$103,'04_Потребность'!$A$4:$A$103,A149,'04_Потребность'!$C$4:$C$103,B149),0))</f>
        <v/>
      </c>
      <c r="N149" s="11"/>
      <c r="O149" s="10"/>
      <c r="P149" s="10"/>
      <c r="Q149" s="27"/>
      <c r="R149" s="27"/>
      <c r="S149" s="8"/>
      <c r="T149" s="8">
        <f>IFERROR(INDEX('02_Схемы оплаты'!$C$4:$C$19,MATCH($C149&amp;"|"&amp;$G149,'02_Схемы оплаты'!$H$4:$H$19,0)),0)</f>
        <v>0</v>
      </c>
      <c r="U149" s="11"/>
      <c r="V149" s="28"/>
      <c r="W149" s="8"/>
      <c r="X149" s="8">
        <f>IFERROR(INDEX('02_Схемы оплаты'!$D$4:$D$19,MATCH($C149&amp;"|"&amp;$G149,'02_Схемы оплаты'!$H$4:$H$19,0)),0)</f>
        <v>0</v>
      </c>
      <c r="Y149" s="11"/>
      <c r="Z149" s="28"/>
      <c r="AA149" s="8"/>
      <c r="AB149" s="8">
        <f>IFERROR(INDEX('02_Схемы оплаты'!$E$4:$E$19,MATCH($C149&amp;"|"&amp;$G149,'02_Схемы оплаты'!$H$4:$H$19,0)),0)</f>
        <v>0</v>
      </c>
      <c r="AC149" s="11"/>
      <c r="AD149" s="28"/>
      <c r="AE149" s="8"/>
      <c r="AF149" s="10"/>
      <c r="AG149" s="10"/>
      <c r="AH149" s="25">
        <f>IFERROR(SUMIFS('04_Потребность'!$D$4:$D$103,'04_Потребность'!$A$4:$A$103,A149,'04_Потребность'!$C$4:$C$103,B149),0)</f>
        <v>0</v>
      </c>
      <c r="AI149" s="26" t="str">
        <f>IF(OR(A149="",B149=""),"",IFERROR(SUMIFS('04_Потребность'!$E$4:$E$103,'04_Потребность'!$A$4:$A$103,A149,'04_Потребность'!$C$4:$C$103,B149),0))</f>
        <v/>
      </c>
      <c r="AJ149" s="25" t="str">
        <f>IF(OR(A149="",B149=""),"",IFERROR(SUMIFS('04_Потребность'!$F$4:$F$103,'04_Потребность'!$A$4:$A$103,A149,'04_Потребность'!$C$4:$C$103,B149),0))</f>
        <v/>
      </c>
      <c r="AK149" s="29" t="str">
        <f>IF(OR(A149="",B149=""),"",IFERROR(SUMIFS('04_Потребность'!$G$4:$G$103,'04_Потребность'!$A$4:$A$103,A149,'04_Потребность'!$C$4:$C$103,B149),0))</f>
        <v/>
      </c>
      <c r="AL149" s="25" t="str">
        <f>IF('03_Настройки'!$B$7="Нет","Нет",IF(COUNTIFS('04_Потребность'!$A$4:$A$103,A149,'04_Потребность'!$C$4:$C$103,B149,'04_Потребность'!$H$4:$H$103,"Да")&gt;0,"Да","Нет"))</f>
        <v>Нет</v>
      </c>
      <c r="AM149" s="30">
        <f t="shared" si="80"/>
        <v>0</v>
      </c>
      <c r="AN149" s="30">
        <f t="shared" si="81"/>
        <v>0</v>
      </c>
      <c r="AO149" s="29">
        <f t="shared" si="82"/>
        <v>0</v>
      </c>
      <c r="AP149" s="29">
        <f t="shared" si="83"/>
        <v>0</v>
      </c>
      <c r="AQ149" s="29">
        <f t="shared" si="84"/>
        <v>0</v>
      </c>
      <c r="AR149" s="29">
        <f>IFERROR(E149*'03_Настройки'!$B$4/365*(IF(T149&gt;0,T149*V149*(1+W149)*MAX(0,N149-U149),0)+IF(X149&gt;0,X149*Z149*(1+AA149)*MAX(0,N149-Y149),0)+IF(AB149&gt;0,AB149*AD149*(1+AE149)*MAX(0,N149-AC149),0)),0)</f>
        <v>0</v>
      </c>
      <c r="AS149" s="29">
        <f t="shared" si="85"/>
        <v>0</v>
      </c>
      <c r="AT149" s="31">
        <f t="shared" si="86"/>
        <v>0</v>
      </c>
      <c r="AU149" s="31">
        <f t="shared" si="87"/>
        <v>0</v>
      </c>
      <c r="AV149" s="32">
        <f t="shared" si="88"/>
        <v>0</v>
      </c>
      <c r="AW149" s="29" t="e">
        <f t="shared" si="89"/>
        <v>#VALUE!</v>
      </c>
      <c r="AX149" s="29">
        <f t="shared" si="90"/>
        <v>0</v>
      </c>
      <c r="AY149" s="29" t="e">
        <f t="shared" si="91"/>
        <v>#VALUE!</v>
      </c>
      <c r="AZ149" s="25" t="str">
        <f>IF(AND(A149&lt;&gt;"",B149&lt;&gt;"",C149&lt;&gt;"",D149&gt;0,E149&gt;0,N149&lt;&gt;"",AH149&gt;0,O149="Да",P149="Да",BZ149="ПОЛНО",ABS(AN149-1)&lt;='03_Настройки'!$B$5,IF(T149&gt;0,AND(U149&lt;&gt;"",V149&gt;0),TRUE()),IF(X149&gt;0,AND(Y149&lt;&gt;"",Z149&gt;0),TRUE()),IF(AB149&gt;0,AND(AC149&lt;&gt;"",AD149&gt;0),TRUE()),OR(BM149="",BM149="Активна")),"Да","Нет")</f>
        <v>Нет</v>
      </c>
      <c r="BA149" s="25" t="str">
        <f t="shared" si="92"/>
        <v>Нет</v>
      </c>
      <c r="BB149" s="25" t="str">
        <f t="shared" si="93"/>
        <v/>
      </c>
      <c r="BC149" s="25" t="str">
        <f t="shared" si="94"/>
        <v/>
      </c>
      <c r="BD149" s="25" t="str">
        <f t="shared" si="95"/>
        <v/>
      </c>
      <c r="BE149" s="25" t="str">
        <f>IF(A149="","",IF(BZ149&lt;&gt;"ПОЛНО","BLOCK: неполная форма",IF(O149&lt;&gt;"Да","BLOCK: ввоз не разрешён",IF(P149&lt;&gt;"Да","BLOCK: документы не подтверждены",IF(ABS(AN149-1)&gt;'03_Настройки'!$B$5,"BLOCK: платежи не 100%",IF(AND(BM149&lt;&gt;"",BM149&lt;&gt;"Активна"),"BLOCK: позиция "&amp;BM149,IF(BA149&lt;&gt;"Да","PARTIAL: не покрывает потребность",IF(BB149="ДА","самый дешёвый"&amp;IF(BC149="ДА"," + быстрый","")&amp;IF(BD149="ДА"," + optimal",""),IF(BC149="ДА","самый быстрый"&amp;IF(BD149="ДА"," + optimal",""),IF(BD149="ДА","optimal","Допущен"))))))))))</f>
        <v/>
      </c>
      <c r="BF149" s="25">
        <f>ROW()</f>
        <v>149</v>
      </c>
      <c r="BG149" s="33"/>
      <c r="BH149" s="33"/>
      <c r="BI149" s="33"/>
      <c r="BJ149" s="33"/>
      <c r="BK149" s="33"/>
      <c r="BL149" s="34"/>
      <c r="BM149" s="33"/>
      <c r="BN149" s="35" t="str">
        <f t="shared" si="96"/>
        <v/>
      </c>
      <c r="BO149" s="36" t="str">
        <f t="shared" si="97"/>
        <v/>
      </c>
      <c r="BP149" s="33"/>
      <c r="BQ149" s="38"/>
      <c r="BR149" s="13"/>
      <c r="BS149" s="13"/>
      <c r="BT149" s="13"/>
      <c r="BU149" s="13"/>
      <c r="BV149" s="13"/>
      <c r="BW149" s="13"/>
      <c r="BX149" s="39" t="str">
        <f t="shared" si="98"/>
        <v/>
      </c>
      <c r="BY149" s="47"/>
      <c r="BZ149" s="48" t="str">
        <f t="shared" si="99"/>
        <v/>
      </c>
      <c r="CA149" s="47"/>
      <c r="CB149" s="47"/>
      <c r="CC149" s="47"/>
    </row>
    <row r="150" spans="1:81" ht="14.25" x14ac:dyDescent="0.45">
      <c r="A150" s="10"/>
      <c r="B150" s="10"/>
      <c r="C150" s="10"/>
      <c r="D150" s="10"/>
      <c r="E150" s="10"/>
      <c r="F150" s="10"/>
      <c r="G150" s="10"/>
      <c r="H150" s="25" t="str">
        <f>IFERROR(VLOOKUP(C150,'01_Поставщики'!$A$4:$M$11,2,FALSE()),"")</f>
        <v/>
      </c>
      <c r="I150" s="10"/>
      <c r="J150" s="25" t="str">
        <f>IFERROR(VLOOKUP(C150,'01_Поставщики'!$A$4:$M$11,8,FALSE()),"")</f>
        <v/>
      </c>
      <c r="K150" s="25" t="str">
        <f>IFERROR(VLOOKUP(C150,'01_Поставщики'!$A$4:$M$11,4,FALSE()),"")</f>
        <v/>
      </c>
      <c r="L150" s="25" t="str">
        <f>IFERROR(VLOOKUP(C150,'01_Поставщики'!$A$4:$M$11,10,FALSE()),"")</f>
        <v/>
      </c>
      <c r="M150" s="26" t="str">
        <f>IF(OR(A150="",B150=""),"",IFERROR(SUMIFS('04_Потребность'!$B$4:$B$103,'04_Потребность'!$A$4:$A$103,A150,'04_Потребность'!$C$4:$C$103,B150),0))</f>
        <v/>
      </c>
      <c r="N150" s="11"/>
      <c r="O150" s="10"/>
      <c r="P150" s="10"/>
      <c r="Q150" s="27"/>
      <c r="R150" s="27"/>
      <c r="S150" s="8"/>
      <c r="T150" s="8">
        <f>IFERROR(INDEX('02_Схемы оплаты'!$C$4:$C$19,MATCH($C150&amp;"|"&amp;$G150,'02_Схемы оплаты'!$H$4:$H$19,0)),0)</f>
        <v>0</v>
      </c>
      <c r="U150" s="11"/>
      <c r="V150" s="28"/>
      <c r="W150" s="8"/>
      <c r="X150" s="8">
        <f>IFERROR(INDEX('02_Схемы оплаты'!$D$4:$D$19,MATCH($C150&amp;"|"&amp;$G150,'02_Схемы оплаты'!$H$4:$H$19,0)),0)</f>
        <v>0</v>
      </c>
      <c r="Y150" s="11"/>
      <c r="Z150" s="28"/>
      <c r="AA150" s="8"/>
      <c r="AB150" s="8">
        <f>IFERROR(INDEX('02_Схемы оплаты'!$E$4:$E$19,MATCH($C150&amp;"|"&amp;$G150,'02_Схемы оплаты'!$H$4:$H$19,0)),0)</f>
        <v>0</v>
      </c>
      <c r="AC150" s="11"/>
      <c r="AD150" s="28"/>
      <c r="AE150" s="8"/>
      <c r="AF150" s="10"/>
      <c r="AG150" s="10"/>
      <c r="AH150" s="25">
        <f>IFERROR(SUMIFS('04_Потребность'!$D$4:$D$103,'04_Потребность'!$A$4:$A$103,A150,'04_Потребность'!$C$4:$C$103,B150),0)</f>
        <v>0</v>
      </c>
      <c r="AI150" s="26" t="str">
        <f>IF(OR(A150="",B150=""),"",IFERROR(SUMIFS('04_Потребность'!$E$4:$E$103,'04_Потребность'!$A$4:$A$103,A150,'04_Потребность'!$C$4:$C$103,B150),0))</f>
        <v/>
      </c>
      <c r="AJ150" s="25" t="str">
        <f>IF(OR(A150="",B150=""),"",IFERROR(SUMIFS('04_Потребность'!$F$4:$F$103,'04_Потребность'!$A$4:$A$103,A150,'04_Потребность'!$C$4:$C$103,B150),0))</f>
        <v/>
      </c>
      <c r="AK150" s="29" t="str">
        <f>IF(OR(A150="",B150=""),"",IFERROR(SUMIFS('04_Потребность'!$G$4:$G$103,'04_Потребность'!$A$4:$A$103,A150,'04_Потребность'!$C$4:$C$103,B150),0))</f>
        <v/>
      </c>
      <c r="AL150" s="25" t="str">
        <f>IF('03_Настройки'!$B$7="Нет","Нет",IF(COUNTIFS('04_Потребность'!$A$4:$A$103,A150,'04_Потребность'!$C$4:$C$103,B150,'04_Потребность'!$H$4:$H$103,"Да")&gt;0,"Да","Нет"))</f>
        <v>Нет</v>
      </c>
      <c r="AM150" s="30">
        <f t="shared" si="80"/>
        <v>0</v>
      </c>
      <c r="AN150" s="30">
        <f t="shared" si="81"/>
        <v>0</v>
      </c>
      <c r="AO150" s="29">
        <f t="shared" si="82"/>
        <v>0</v>
      </c>
      <c r="AP150" s="29">
        <f t="shared" si="83"/>
        <v>0</v>
      </c>
      <c r="AQ150" s="29">
        <f t="shared" si="84"/>
        <v>0</v>
      </c>
      <c r="AR150" s="29">
        <f>IFERROR(E150*'03_Настройки'!$B$4/365*(IF(T150&gt;0,T150*V150*(1+W150)*MAX(0,N150-U150),0)+IF(X150&gt;0,X150*Z150*(1+AA150)*MAX(0,N150-Y150),0)+IF(AB150&gt;0,AB150*AD150*(1+AE150)*MAX(0,N150-AC150),0)),0)</f>
        <v>0</v>
      </c>
      <c r="AS150" s="29">
        <f t="shared" si="85"/>
        <v>0</v>
      </c>
      <c r="AT150" s="31">
        <f t="shared" si="86"/>
        <v>0</v>
      </c>
      <c r="AU150" s="31">
        <f t="shared" si="87"/>
        <v>0</v>
      </c>
      <c r="AV150" s="32">
        <f t="shared" si="88"/>
        <v>0</v>
      </c>
      <c r="AW150" s="29" t="e">
        <f t="shared" si="89"/>
        <v>#VALUE!</v>
      </c>
      <c r="AX150" s="29">
        <f t="shared" si="90"/>
        <v>0</v>
      </c>
      <c r="AY150" s="29" t="e">
        <f t="shared" si="91"/>
        <v>#VALUE!</v>
      </c>
      <c r="AZ150" s="25" t="str">
        <f>IF(AND(A150&lt;&gt;"",B150&lt;&gt;"",C150&lt;&gt;"",D150&gt;0,E150&gt;0,N150&lt;&gt;"",AH150&gt;0,O150="Да",P150="Да",BZ150="ПОЛНО",ABS(AN150-1)&lt;='03_Настройки'!$B$5,IF(T150&gt;0,AND(U150&lt;&gt;"",V150&gt;0),TRUE()),IF(X150&gt;0,AND(Y150&lt;&gt;"",Z150&gt;0),TRUE()),IF(AB150&gt;0,AND(AC150&lt;&gt;"",AD150&gt;0),TRUE()),OR(BM150="",BM150="Активна")),"Да","Нет")</f>
        <v>Нет</v>
      </c>
      <c r="BA150" s="25" t="str">
        <f t="shared" si="92"/>
        <v>Нет</v>
      </c>
      <c r="BB150" s="25" t="str">
        <f t="shared" si="93"/>
        <v/>
      </c>
      <c r="BC150" s="25" t="str">
        <f t="shared" si="94"/>
        <v/>
      </c>
      <c r="BD150" s="25" t="str">
        <f t="shared" si="95"/>
        <v/>
      </c>
      <c r="BE150" s="25" t="str">
        <f>IF(A150="","",IF(BZ150&lt;&gt;"ПОЛНО","BLOCK: неполная форма",IF(O150&lt;&gt;"Да","BLOCK: ввоз не разрешён",IF(P150&lt;&gt;"Да","BLOCK: документы не подтверждены",IF(ABS(AN150-1)&gt;'03_Настройки'!$B$5,"BLOCK: платежи не 100%",IF(AND(BM150&lt;&gt;"",BM150&lt;&gt;"Активна"),"BLOCK: позиция "&amp;BM150,IF(BA150&lt;&gt;"Да","PARTIAL: не покрывает потребность",IF(BB150="ДА","самый дешёвый"&amp;IF(BC150="ДА"," + быстрый","")&amp;IF(BD150="ДА"," + optimal",""),IF(BC150="ДА","самый быстрый"&amp;IF(BD150="ДА"," + optimal",""),IF(BD150="ДА","optimal","Допущен"))))))))))</f>
        <v/>
      </c>
      <c r="BF150" s="25">
        <f>ROW()</f>
        <v>150</v>
      </c>
      <c r="BG150" s="33"/>
      <c r="BH150" s="33"/>
      <c r="BI150" s="33"/>
      <c r="BJ150" s="33"/>
      <c r="BK150" s="33"/>
      <c r="BL150" s="34"/>
      <c r="BM150" s="33"/>
      <c r="BN150" s="35" t="str">
        <f t="shared" si="96"/>
        <v/>
      </c>
      <c r="BO150" s="36" t="str">
        <f t="shared" si="97"/>
        <v/>
      </c>
      <c r="BP150" s="33"/>
      <c r="BQ150" s="38"/>
      <c r="BR150" s="13"/>
      <c r="BS150" s="13"/>
      <c r="BT150" s="13"/>
      <c r="BU150" s="13"/>
      <c r="BV150" s="13"/>
      <c r="BW150" s="13"/>
      <c r="BX150" s="39" t="str">
        <f t="shared" si="98"/>
        <v/>
      </c>
      <c r="BY150" s="47"/>
      <c r="BZ150" s="48" t="str">
        <f t="shared" si="99"/>
        <v/>
      </c>
      <c r="CA150" s="47"/>
      <c r="CB150" s="47"/>
      <c r="CC150" s="47"/>
    </row>
    <row r="151" spans="1:81" ht="14.25" x14ac:dyDescent="0.45">
      <c r="A151" s="10"/>
      <c r="B151" s="10"/>
      <c r="C151" s="10"/>
      <c r="D151" s="10"/>
      <c r="E151" s="10"/>
      <c r="F151" s="10"/>
      <c r="G151" s="10"/>
      <c r="H151" s="25" t="str">
        <f>IFERROR(VLOOKUP(C151,'01_Поставщики'!$A$4:$M$11,2,FALSE()),"")</f>
        <v/>
      </c>
      <c r="I151" s="10"/>
      <c r="J151" s="25" t="str">
        <f>IFERROR(VLOOKUP(C151,'01_Поставщики'!$A$4:$M$11,8,FALSE()),"")</f>
        <v/>
      </c>
      <c r="K151" s="25" t="str">
        <f>IFERROR(VLOOKUP(C151,'01_Поставщики'!$A$4:$M$11,4,FALSE()),"")</f>
        <v/>
      </c>
      <c r="L151" s="25" t="str">
        <f>IFERROR(VLOOKUP(C151,'01_Поставщики'!$A$4:$M$11,10,FALSE()),"")</f>
        <v/>
      </c>
      <c r="M151" s="26" t="str">
        <f>IF(OR(A151="",B151=""),"",IFERROR(SUMIFS('04_Потребность'!$B$4:$B$103,'04_Потребность'!$A$4:$A$103,A151,'04_Потребность'!$C$4:$C$103,B151),0))</f>
        <v/>
      </c>
      <c r="N151" s="11"/>
      <c r="O151" s="10"/>
      <c r="P151" s="10"/>
      <c r="Q151" s="27"/>
      <c r="R151" s="27"/>
      <c r="S151" s="8"/>
      <c r="T151" s="8">
        <f>IFERROR(INDEX('02_Схемы оплаты'!$C$4:$C$19,MATCH($C151&amp;"|"&amp;$G151,'02_Схемы оплаты'!$H$4:$H$19,0)),0)</f>
        <v>0</v>
      </c>
      <c r="U151" s="11"/>
      <c r="V151" s="28"/>
      <c r="W151" s="8"/>
      <c r="X151" s="8">
        <f>IFERROR(INDEX('02_Схемы оплаты'!$D$4:$D$19,MATCH($C151&amp;"|"&amp;$G151,'02_Схемы оплаты'!$H$4:$H$19,0)),0)</f>
        <v>0</v>
      </c>
      <c r="Y151" s="11"/>
      <c r="Z151" s="28"/>
      <c r="AA151" s="8"/>
      <c r="AB151" s="8">
        <f>IFERROR(INDEX('02_Схемы оплаты'!$E$4:$E$19,MATCH($C151&amp;"|"&amp;$G151,'02_Схемы оплаты'!$H$4:$H$19,0)),0)</f>
        <v>0</v>
      </c>
      <c r="AC151" s="11"/>
      <c r="AD151" s="28"/>
      <c r="AE151" s="8"/>
      <c r="AF151" s="10"/>
      <c r="AG151" s="10"/>
      <c r="AH151" s="25">
        <f>IFERROR(SUMIFS('04_Потребность'!$D$4:$D$103,'04_Потребность'!$A$4:$A$103,A151,'04_Потребность'!$C$4:$C$103,B151),0)</f>
        <v>0</v>
      </c>
      <c r="AI151" s="26" t="str">
        <f>IF(OR(A151="",B151=""),"",IFERROR(SUMIFS('04_Потребность'!$E$4:$E$103,'04_Потребность'!$A$4:$A$103,A151,'04_Потребность'!$C$4:$C$103,B151),0))</f>
        <v/>
      </c>
      <c r="AJ151" s="25" t="str">
        <f>IF(OR(A151="",B151=""),"",IFERROR(SUMIFS('04_Потребность'!$F$4:$F$103,'04_Потребность'!$A$4:$A$103,A151,'04_Потребность'!$C$4:$C$103,B151),0))</f>
        <v/>
      </c>
      <c r="AK151" s="29" t="str">
        <f>IF(OR(A151="",B151=""),"",IFERROR(SUMIFS('04_Потребность'!$G$4:$G$103,'04_Потребность'!$A$4:$A$103,A151,'04_Потребность'!$C$4:$C$103,B151),0))</f>
        <v/>
      </c>
      <c r="AL151" s="25" t="str">
        <f>IF('03_Настройки'!$B$7="Нет","Нет",IF(COUNTIFS('04_Потребность'!$A$4:$A$103,A151,'04_Потребность'!$C$4:$C$103,B151,'04_Потребность'!$H$4:$H$103,"Да")&gt;0,"Да","Нет"))</f>
        <v>Нет</v>
      </c>
      <c r="AM151" s="30">
        <f t="shared" si="80"/>
        <v>0</v>
      </c>
      <c r="AN151" s="30">
        <f t="shared" si="81"/>
        <v>0</v>
      </c>
      <c r="AO151" s="29">
        <f t="shared" si="82"/>
        <v>0</v>
      </c>
      <c r="AP151" s="29">
        <f t="shared" si="83"/>
        <v>0</v>
      </c>
      <c r="AQ151" s="29">
        <f t="shared" si="84"/>
        <v>0</v>
      </c>
      <c r="AR151" s="29">
        <f>IFERROR(E151*'03_Настройки'!$B$4/365*(IF(T151&gt;0,T151*V151*(1+W151)*MAX(0,N151-U151),0)+IF(X151&gt;0,X151*Z151*(1+AA151)*MAX(0,N151-Y151),0)+IF(AB151&gt;0,AB151*AD151*(1+AE151)*MAX(0,N151-AC151),0)),0)</f>
        <v>0</v>
      </c>
      <c r="AS151" s="29">
        <f t="shared" si="85"/>
        <v>0</v>
      </c>
      <c r="AT151" s="31">
        <f t="shared" si="86"/>
        <v>0</v>
      </c>
      <c r="AU151" s="31">
        <f t="shared" si="87"/>
        <v>0</v>
      </c>
      <c r="AV151" s="32">
        <f t="shared" si="88"/>
        <v>0</v>
      </c>
      <c r="AW151" s="29" t="e">
        <f t="shared" si="89"/>
        <v>#VALUE!</v>
      </c>
      <c r="AX151" s="29">
        <f t="shared" si="90"/>
        <v>0</v>
      </c>
      <c r="AY151" s="29" t="e">
        <f t="shared" si="91"/>
        <v>#VALUE!</v>
      </c>
      <c r="AZ151" s="25" t="str">
        <f>IF(AND(A151&lt;&gt;"",B151&lt;&gt;"",C151&lt;&gt;"",D151&gt;0,E151&gt;0,N151&lt;&gt;"",AH151&gt;0,O151="Да",P151="Да",BZ151="ПОЛНО",ABS(AN151-1)&lt;='03_Настройки'!$B$5,IF(T151&gt;0,AND(U151&lt;&gt;"",V151&gt;0),TRUE()),IF(X151&gt;0,AND(Y151&lt;&gt;"",Z151&gt;0),TRUE()),IF(AB151&gt;0,AND(AC151&lt;&gt;"",AD151&gt;0),TRUE()),OR(BM151="",BM151="Активна")),"Да","Нет")</f>
        <v>Нет</v>
      </c>
      <c r="BA151" s="25" t="str">
        <f t="shared" si="92"/>
        <v>Нет</v>
      </c>
      <c r="BB151" s="25" t="str">
        <f t="shared" si="93"/>
        <v/>
      </c>
      <c r="BC151" s="25" t="str">
        <f t="shared" si="94"/>
        <v/>
      </c>
      <c r="BD151" s="25" t="str">
        <f t="shared" si="95"/>
        <v/>
      </c>
      <c r="BE151" s="25" t="str">
        <f>IF(A151="","",IF(BZ151&lt;&gt;"ПОЛНО","BLOCK: неполная форма",IF(O151&lt;&gt;"Да","BLOCK: ввоз не разрешён",IF(P151&lt;&gt;"Да","BLOCK: документы не подтверждены",IF(ABS(AN151-1)&gt;'03_Настройки'!$B$5,"BLOCK: платежи не 100%",IF(AND(BM151&lt;&gt;"",BM151&lt;&gt;"Активна"),"BLOCK: позиция "&amp;BM151,IF(BA151&lt;&gt;"Да","PARTIAL: не покрывает потребность",IF(BB151="ДА","самый дешёвый"&amp;IF(BC151="ДА"," + быстрый","")&amp;IF(BD151="ДА"," + optimal",""),IF(BC151="ДА","самый быстрый"&amp;IF(BD151="ДА"," + optimal",""),IF(BD151="ДА","optimal","Допущен"))))))))))</f>
        <v/>
      </c>
      <c r="BF151" s="25">
        <f>ROW()</f>
        <v>151</v>
      </c>
      <c r="BG151" s="33"/>
      <c r="BH151" s="33"/>
      <c r="BI151" s="33"/>
      <c r="BJ151" s="33"/>
      <c r="BK151" s="33"/>
      <c r="BL151" s="34"/>
      <c r="BM151" s="33"/>
      <c r="BN151" s="35" t="str">
        <f t="shared" si="96"/>
        <v/>
      </c>
      <c r="BO151" s="36" t="str">
        <f t="shared" si="97"/>
        <v/>
      </c>
      <c r="BP151" s="33"/>
      <c r="BQ151" s="38"/>
      <c r="BR151" s="13"/>
      <c r="BS151" s="13"/>
      <c r="BT151" s="13"/>
      <c r="BU151" s="13"/>
      <c r="BV151" s="13"/>
      <c r="BW151" s="13"/>
      <c r="BX151" s="39" t="str">
        <f t="shared" si="98"/>
        <v/>
      </c>
      <c r="BY151" s="47"/>
      <c r="BZ151" s="48" t="str">
        <f t="shared" si="99"/>
        <v/>
      </c>
      <c r="CA151" s="47"/>
      <c r="CB151" s="47"/>
      <c r="CC151" s="47"/>
    </row>
    <row r="152" spans="1:81" ht="14.25" x14ac:dyDescent="0.45">
      <c r="A152" s="10"/>
      <c r="B152" s="10"/>
      <c r="C152" s="10"/>
      <c r="D152" s="10"/>
      <c r="E152" s="10"/>
      <c r="F152" s="10"/>
      <c r="G152" s="10"/>
      <c r="H152" s="25" t="str">
        <f>IFERROR(VLOOKUP(C152,'01_Поставщики'!$A$4:$M$11,2,FALSE()),"")</f>
        <v/>
      </c>
      <c r="I152" s="10"/>
      <c r="J152" s="25" t="str">
        <f>IFERROR(VLOOKUP(C152,'01_Поставщики'!$A$4:$M$11,8,FALSE()),"")</f>
        <v/>
      </c>
      <c r="K152" s="25" t="str">
        <f>IFERROR(VLOOKUP(C152,'01_Поставщики'!$A$4:$M$11,4,FALSE()),"")</f>
        <v/>
      </c>
      <c r="L152" s="25" t="str">
        <f>IFERROR(VLOOKUP(C152,'01_Поставщики'!$A$4:$M$11,10,FALSE()),"")</f>
        <v/>
      </c>
      <c r="M152" s="26" t="str">
        <f>IF(OR(A152="",B152=""),"",IFERROR(SUMIFS('04_Потребность'!$B$4:$B$103,'04_Потребность'!$A$4:$A$103,A152,'04_Потребность'!$C$4:$C$103,B152),0))</f>
        <v/>
      </c>
      <c r="N152" s="11"/>
      <c r="O152" s="10"/>
      <c r="P152" s="10"/>
      <c r="Q152" s="27"/>
      <c r="R152" s="27"/>
      <c r="S152" s="8"/>
      <c r="T152" s="8">
        <f>IFERROR(INDEX('02_Схемы оплаты'!$C$4:$C$19,MATCH($C152&amp;"|"&amp;$G152,'02_Схемы оплаты'!$H$4:$H$19,0)),0)</f>
        <v>0</v>
      </c>
      <c r="U152" s="11"/>
      <c r="V152" s="28"/>
      <c r="W152" s="8"/>
      <c r="X152" s="8">
        <f>IFERROR(INDEX('02_Схемы оплаты'!$D$4:$D$19,MATCH($C152&amp;"|"&amp;$G152,'02_Схемы оплаты'!$H$4:$H$19,0)),0)</f>
        <v>0</v>
      </c>
      <c r="Y152" s="11"/>
      <c r="Z152" s="28"/>
      <c r="AA152" s="8"/>
      <c r="AB152" s="8">
        <f>IFERROR(INDEX('02_Схемы оплаты'!$E$4:$E$19,MATCH($C152&amp;"|"&amp;$G152,'02_Схемы оплаты'!$H$4:$H$19,0)),0)</f>
        <v>0</v>
      </c>
      <c r="AC152" s="11"/>
      <c r="AD152" s="28"/>
      <c r="AE152" s="8"/>
      <c r="AF152" s="10"/>
      <c r="AG152" s="10"/>
      <c r="AH152" s="25">
        <f>IFERROR(SUMIFS('04_Потребность'!$D$4:$D$103,'04_Потребность'!$A$4:$A$103,A152,'04_Потребность'!$C$4:$C$103,B152),0)</f>
        <v>0</v>
      </c>
      <c r="AI152" s="26" t="str">
        <f>IF(OR(A152="",B152=""),"",IFERROR(SUMIFS('04_Потребность'!$E$4:$E$103,'04_Потребность'!$A$4:$A$103,A152,'04_Потребность'!$C$4:$C$103,B152),0))</f>
        <v/>
      </c>
      <c r="AJ152" s="25" t="str">
        <f>IF(OR(A152="",B152=""),"",IFERROR(SUMIFS('04_Потребность'!$F$4:$F$103,'04_Потребность'!$A$4:$A$103,A152,'04_Потребность'!$C$4:$C$103,B152),0))</f>
        <v/>
      </c>
      <c r="AK152" s="29" t="str">
        <f>IF(OR(A152="",B152=""),"",IFERROR(SUMIFS('04_Потребность'!$G$4:$G$103,'04_Потребность'!$A$4:$A$103,A152,'04_Потребность'!$C$4:$C$103,B152),0))</f>
        <v/>
      </c>
      <c r="AL152" s="25" t="str">
        <f>IF('03_Настройки'!$B$7="Нет","Нет",IF(COUNTIFS('04_Потребность'!$A$4:$A$103,A152,'04_Потребность'!$C$4:$C$103,B152,'04_Потребность'!$H$4:$H$103,"Да")&gt;0,"Да","Нет"))</f>
        <v>Нет</v>
      </c>
      <c r="AM152" s="30">
        <f t="shared" si="80"/>
        <v>0</v>
      </c>
      <c r="AN152" s="30">
        <f t="shared" si="81"/>
        <v>0</v>
      </c>
      <c r="AO152" s="29">
        <f t="shared" si="82"/>
        <v>0</v>
      </c>
      <c r="AP152" s="29">
        <f t="shared" si="83"/>
        <v>0</v>
      </c>
      <c r="AQ152" s="29">
        <f t="shared" si="84"/>
        <v>0</v>
      </c>
      <c r="AR152" s="29">
        <f>IFERROR(E152*'03_Настройки'!$B$4/365*(IF(T152&gt;0,T152*V152*(1+W152)*MAX(0,N152-U152),0)+IF(X152&gt;0,X152*Z152*(1+AA152)*MAX(0,N152-Y152),0)+IF(AB152&gt;0,AB152*AD152*(1+AE152)*MAX(0,N152-AC152),0)),0)</f>
        <v>0</v>
      </c>
      <c r="AS152" s="29">
        <f t="shared" si="85"/>
        <v>0</v>
      </c>
      <c r="AT152" s="31">
        <f t="shared" si="86"/>
        <v>0</v>
      </c>
      <c r="AU152" s="31">
        <f t="shared" si="87"/>
        <v>0</v>
      </c>
      <c r="AV152" s="32">
        <f t="shared" si="88"/>
        <v>0</v>
      </c>
      <c r="AW152" s="29" t="e">
        <f t="shared" si="89"/>
        <v>#VALUE!</v>
      </c>
      <c r="AX152" s="29">
        <f t="shared" si="90"/>
        <v>0</v>
      </c>
      <c r="AY152" s="29" t="e">
        <f t="shared" si="91"/>
        <v>#VALUE!</v>
      </c>
      <c r="AZ152" s="25" t="str">
        <f>IF(AND(A152&lt;&gt;"",B152&lt;&gt;"",C152&lt;&gt;"",D152&gt;0,E152&gt;0,N152&lt;&gt;"",AH152&gt;0,O152="Да",P152="Да",BZ152="ПОЛНО",ABS(AN152-1)&lt;='03_Настройки'!$B$5,IF(T152&gt;0,AND(U152&lt;&gt;"",V152&gt;0),TRUE()),IF(X152&gt;0,AND(Y152&lt;&gt;"",Z152&gt;0),TRUE()),IF(AB152&gt;0,AND(AC152&lt;&gt;"",AD152&gt;0),TRUE()),OR(BM152="",BM152="Активна")),"Да","Нет")</f>
        <v>Нет</v>
      </c>
      <c r="BA152" s="25" t="str">
        <f t="shared" si="92"/>
        <v>Нет</v>
      </c>
      <c r="BB152" s="25" t="str">
        <f t="shared" si="93"/>
        <v/>
      </c>
      <c r="BC152" s="25" t="str">
        <f t="shared" si="94"/>
        <v/>
      </c>
      <c r="BD152" s="25" t="str">
        <f t="shared" si="95"/>
        <v/>
      </c>
      <c r="BE152" s="25" t="str">
        <f>IF(A152="","",IF(BZ152&lt;&gt;"ПОЛНО","BLOCK: неполная форма",IF(O152&lt;&gt;"Да","BLOCK: ввоз не разрешён",IF(P152&lt;&gt;"Да","BLOCK: документы не подтверждены",IF(ABS(AN152-1)&gt;'03_Настройки'!$B$5,"BLOCK: платежи не 100%",IF(AND(BM152&lt;&gt;"",BM152&lt;&gt;"Активна"),"BLOCK: позиция "&amp;BM152,IF(BA152&lt;&gt;"Да","PARTIAL: не покрывает потребность",IF(BB152="ДА","самый дешёвый"&amp;IF(BC152="ДА"," + быстрый","")&amp;IF(BD152="ДА"," + optimal",""),IF(BC152="ДА","самый быстрый"&amp;IF(BD152="ДА"," + optimal",""),IF(BD152="ДА","optimal","Допущен"))))))))))</f>
        <v/>
      </c>
      <c r="BF152" s="25">
        <f>ROW()</f>
        <v>152</v>
      </c>
      <c r="BG152" s="33"/>
      <c r="BH152" s="33"/>
      <c r="BI152" s="33"/>
      <c r="BJ152" s="33"/>
      <c r="BK152" s="33"/>
      <c r="BL152" s="34"/>
      <c r="BM152" s="33"/>
      <c r="BN152" s="35" t="str">
        <f t="shared" si="96"/>
        <v/>
      </c>
      <c r="BO152" s="36" t="str">
        <f t="shared" si="97"/>
        <v/>
      </c>
      <c r="BP152" s="33"/>
      <c r="BQ152" s="38"/>
      <c r="BR152" s="13"/>
      <c r="BS152" s="13"/>
      <c r="BT152" s="13"/>
      <c r="BU152" s="13"/>
      <c r="BV152" s="13"/>
      <c r="BW152" s="13"/>
      <c r="BX152" s="39" t="str">
        <f t="shared" si="98"/>
        <v/>
      </c>
      <c r="BY152" s="47"/>
      <c r="BZ152" s="48" t="str">
        <f t="shared" si="99"/>
        <v/>
      </c>
      <c r="CA152" s="47"/>
      <c r="CB152" s="47"/>
      <c r="CC152" s="47"/>
    </row>
    <row r="153" spans="1:81" ht="14.25" x14ac:dyDescent="0.45">
      <c r="A153" s="10"/>
      <c r="B153" s="10"/>
      <c r="C153" s="10"/>
      <c r="D153" s="10"/>
      <c r="E153" s="10"/>
      <c r="F153" s="10"/>
      <c r="G153" s="10"/>
      <c r="H153" s="25" t="str">
        <f>IFERROR(VLOOKUP(C153,'01_Поставщики'!$A$4:$M$11,2,FALSE()),"")</f>
        <v/>
      </c>
      <c r="I153" s="10"/>
      <c r="J153" s="25" t="str">
        <f>IFERROR(VLOOKUP(C153,'01_Поставщики'!$A$4:$M$11,8,FALSE()),"")</f>
        <v/>
      </c>
      <c r="K153" s="25" t="str">
        <f>IFERROR(VLOOKUP(C153,'01_Поставщики'!$A$4:$M$11,4,FALSE()),"")</f>
        <v/>
      </c>
      <c r="L153" s="25" t="str">
        <f>IFERROR(VLOOKUP(C153,'01_Поставщики'!$A$4:$M$11,10,FALSE()),"")</f>
        <v/>
      </c>
      <c r="M153" s="26" t="str">
        <f>IF(OR(A153="",B153=""),"",IFERROR(SUMIFS('04_Потребность'!$B$4:$B$103,'04_Потребность'!$A$4:$A$103,A153,'04_Потребность'!$C$4:$C$103,B153),0))</f>
        <v/>
      </c>
      <c r="N153" s="11"/>
      <c r="O153" s="10"/>
      <c r="P153" s="10"/>
      <c r="Q153" s="27"/>
      <c r="R153" s="27"/>
      <c r="S153" s="8"/>
      <c r="T153" s="8">
        <f>IFERROR(INDEX('02_Схемы оплаты'!$C$4:$C$19,MATCH($C153&amp;"|"&amp;$G153,'02_Схемы оплаты'!$H$4:$H$19,0)),0)</f>
        <v>0</v>
      </c>
      <c r="U153" s="11"/>
      <c r="V153" s="28"/>
      <c r="W153" s="8"/>
      <c r="X153" s="8">
        <f>IFERROR(INDEX('02_Схемы оплаты'!$D$4:$D$19,MATCH($C153&amp;"|"&amp;$G153,'02_Схемы оплаты'!$H$4:$H$19,0)),0)</f>
        <v>0</v>
      </c>
      <c r="Y153" s="11"/>
      <c r="Z153" s="28"/>
      <c r="AA153" s="8"/>
      <c r="AB153" s="8">
        <f>IFERROR(INDEX('02_Схемы оплаты'!$E$4:$E$19,MATCH($C153&amp;"|"&amp;$G153,'02_Схемы оплаты'!$H$4:$H$19,0)),0)</f>
        <v>0</v>
      </c>
      <c r="AC153" s="11"/>
      <c r="AD153" s="28"/>
      <c r="AE153" s="8"/>
      <c r="AF153" s="10"/>
      <c r="AG153" s="10"/>
      <c r="AH153" s="25">
        <f>IFERROR(SUMIFS('04_Потребность'!$D$4:$D$103,'04_Потребность'!$A$4:$A$103,A153,'04_Потребность'!$C$4:$C$103,B153),0)</f>
        <v>0</v>
      </c>
      <c r="AI153" s="26" t="str">
        <f>IF(OR(A153="",B153=""),"",IFERROR(SUMIFS('04_Потребность'!$E$4:$E$103,'04_Потребность'!$A$4:$A$103,A153,'04_Потребность'!$C$4:$C$103,B153),0))</f>
        <v/>
      </c>
      <c r="AJ153" s="25" t="str">
        <f>IF(OR(A153="",B153=""),"",IFERROR(SUMIFS('04_Потребность'!$F$4:$F$103,'04_Потребность'!$A$4:$A$103,A153,'04_Потребность'!$C$4:$C$103,B153),0))</f>
        <v/>
      </c>
      <c r="AK153" s="29" t="str">
        <f>IF(OR(A153="",B153=""),"",IFERROR(SUMIFS('04_Потребность'!$G$4:$G$103,'04_Потребность'!$A$4:$A$103,A153,'04_Потребность'!$C$4:$C$103,B153),0))</f>
        <v/>
      </c>
      <c r="AL153" s="25" t="str">
        <f>IF('03_Настройки'!$B$7="Нет","Нет",IF(COUNTIFS('04_Потребность'!$A$4:$A$103,A153,'04_Потребность'!$C$4:$C$103,B153,'04_Потребность'!$H$4:$H$103,"Да")&gt;0,"Да","Нет"))</f>
        <v>Нет</v>
      </c>
      <c r="AM153" s="30">
        <f t="shared" si="80"/>
        <v>0</v>
      </c>
      <c r="AN153" s="30">
        <f t="shared" si="81"/>
        <v>0</v>
      </c>
      <c r="AO153" s="29">
        <f t="shared" si="82"/>
        <v>0</v>
      </c>
      <c r="AP153" s="29">
        <f t="shared" si="83"/>
        <v>0</v>
      </c>
      <c r="AQ153" s="29">
        <f t="shared" si="84"/>
        <v>0</v>
      </c>
      <c r="AR153" s="29">
        <f>IFERROR(E153*'03_Настройки'!$B$4/365*(IF(T153&gt;0,T153*V153*(1+W153)*MAX(0,N153-U153),0)+IF(X153&gt;0,X153*Z153*(1+AA153)*MAX(0,N153-Y153),0)+IF(AB153&gt;0,AB153*AD153*(1+AE153)*MAX(0,N153-AC153),0)),0)</f>
        <v>0</v>
      </c>
      <c r="AS153" s="29">
        <f t="shared" si="85"/>
        <v>0</v>
      </c>
      <c r="AT153" s="31">
        <f t="shared" si="86"/>
        <v>0</v>
      </c>
      <c r="AU153" s="31">
        <f t="shared" si="87"/>
        <v>0</v>
      </c>
      <c r="AV153" s="32">
        <f t="shared" si="88"/>
        <v>0</v>
      </c>
      <c r="AW153" s="29" t="e">
        <f t="shared" si="89"/>
        <v>#VALUE!</v>
      </c>
      <c r="AX153" s="29">
        <f t="shared" si="90"/>
        <v>0</v>
      </c>
      <c r="AY153" s="29" t="e">
        <f t="shared" si="91"/>
        <v>#VALUE!</v>
      </c>
      <c r="AZ153" s="25" t="str">
        <f>IF(AND(A153&lt;&gt;"",B153&lt;&gt;"",C153&lt;&gt;"",D153&gt;0,E153&gt;0,N153&lt;&gt;"",AH153&gt;0,O153="Да",P153="Да",BZ153="ПОЛНО",ABS(AN153-1)&lt;='03_Настройки'!$B$5,IF(T153&gt;0,AND(U153&lt;&gt;"",V153&gt;0),TRUE()),IF(X153&gt;0,AND(Y153&lt;&gt;"",Z153&gt;0),TRUE()),IF(AB153&gt;0,AND(AC153&lt;&gt;"",AD153&gt;0),TRUE()),OR(BM153="",BM153="Активна")),"Да","Нет")</f>
        <v>Нет</v>
      </c>
      <c r="BA153" s="25" t="str">
        <f t="shared" si="92"/>
        <v>Нет</v>
      </c>
      <c r="BB153" s="25" t="str">
        <f t="shared" si="93"/>
        <v/>
      </c>
      <c r="BC153" s="25" t="str">
        <f t="shared" si="94"/>
        <v/>
      </c>
      <c r="BD153" s="25" t="str">
        <f t="shared" si="95"/>
        <v/>
      </c>
      <c r="BE153" s="25" t="str">
        <f>IF(A153="","",IF(BZ153&lt;&gt;"ПОЛНО","BLOCK: неполная форма",IF(O153&lt;&gt;"Да","BLOCK: ввоз не разрешён",IF(P153&lt;&gt;"Да","BLOCK: документы не подтверждены",IF(ABS(AN153-1)&gt;'03_Настройки'!$B$5,"BLOCK: платежи не 100%",IF(AND(BM153&lt;&gt;"",BM153&lt;&gt;"Активна"),"BLOCK: позиция "&amp;BM153,IF(BA153&lt;&gt;"Да","PARTIAL: не покрывает потребность",IF(BB153="ДА","самый дешёвый"&amp;IF(BC153="ДА"," + быстрый","")&amp;IF(BD153="ДА"," + optimal",""),IF(BC153="ДА","самый быстрый"&amp;IF(BD153="ДА"," + optimal",""),IF(BD153="ДА","optimal","Допущен"))))))))))</f>
        <v/>
      </c>
      <c r="BF153" s="25">
        <f>ROW()</f>
        <v>153</v>
      </c>
      <c r="BG153" s="33"/>
      <c r="BH153" s="33"/>
      <c r="BI153" s="33"/>
      <c r="BJ153" s="33"/>
      <c r="BK153" s="33"/>
      <c r="BL153" s="34"/>
      <c r="BM153" s="33"/>
      <c r="BN153" s="35" t="str">
        <f t="shared" si="96"/>
        <v/>
      </c>
      <c r="BO153" s="36" t="str">
        <f t="shared" si="97"/>
        <v/>
      </c>
      <c r="BP153" s="33"/>
      <c r="BQ153" s="38"/>
      <c r="BR153" s="13"/>
      <c r="BS153" s="13"/>
      <c r="BT153" s="13"/>
      <c r="BU153" s="13"/>
      <c r="BV153" s="13"/>
      <c r="BW153" s="13"/>
      <c r="BX153" s="39" t="str">
        <f t="shared" si="98"/>
        <v/>
      </c>
      <c r="BY153" s="47"/>
      <c r="BZ153" s="48" t="str">
        <f t="shared" si="99"/>
        <v/>
      </c>
      <c r="CA153" s="47"/>
      <c r="CB153" s="47"/>
      <c r="CC153" s="47"/>
    </row>
    <row r="154" spans="1:81" ht="14.25" x14ac:dyDescent="0.45">
      <c r="A154" s="10"/>
      <c r="B154" s="10"/>
      <c r="C154" s="10"/>
      <c r="D154" s="10"/>
      <c r="E154" s="10"/>
      <c r="F154" s="10"/>
      <c r="G154" s="10"/>
      <c r="H154" s="25" t="str">
        <f>IFERROR(VLOOKUP(C154,'01_Поставщики'!$A$4:$M$11,2,FALSE()),"")</f>
        <v/>
      </c>
      <c r="I154" s="10"/>
      <c r="J154" s="25" t="str">
        <f>IFERROR(VLOOKUP(C154,'01_Поставщики'!$A$4:$M$11,8,FALSE()),"")</f>
        <v/>
      </c>
      <c r="K154" s="25" t="str">
        <f>IFERROR(VLOOKUP(C154,'01_Поставщики'!$A$4:$M$11,4,FALSE()),"")</f>
        <v/>
      </c>
      <c r="L154" s="25" t="str">
        <f>IFERROR(VLOOKUP(C154,'01_Поставщики'!$A$4:$M$11,10,FALSE()),"")</f>
        <v/>
      </c>
      <c r="M154" s="26" t="str">
        <f>IF(OR(A154="",B154=""),"",IFERROR(SUMIFS('04_Потребность'!$B$4:$B$103,'04_Потребность'!$A$4:$A$103,A154,'04_Потребность'!$C$4:$C$103,B154),0))</f>
        <v/>
      </c>
      <c r="N154" s="11"/>
      <c r="O154" s="10"/>
      <c r="P154" s="10"/>
      <c r="Q154" s="27"/>
      <c r="R154" s="27"/>
      <c r="S154" s="8"/>
      <c r="T154" s="8">
        <f>IFERROR(INDEX('02_Схемы оплаты'!$C$4:$C$19,MATCH($C154&amp;"|"&amp;$G154,'02_Схемы оплаты'!$H$4:$H$19,0)),0)</f>
        <v>0</v>
      </c>
      <c r="U154" s="11"/>
      <c r="V154" s="28"/>
      <c r="W154" s="8"/>
      <c r="X154" s="8">
        <f>IFERROR(INDEX('02_Схемы оплаты'!$D$4:$D$19,MATCH($C154&amp;"|"&amp;$G154,'02_Схемы оплаты'!$H$4:$H$19,0)),0)</f>
        <v>0</v>
      </c>
      <c r="Y154" s="11"/>
      <c r="Z154" s="28"/>
      <c r="AA154" s="8"/>
      <c r="AB154" s="8">
        <f>IFERROR(INDEX('02_Схемы оплаты'!$E$4:$E$19,MATCH($C154&amp;"|"&amp;$G154,'02_Схемы оплаты'!$H$4:$H$19,0)),0)</f>
        <v>0</v>
      </c>
      <c r="AC154" s="11"/>
      <c r="AD154" s="28"/>
      <c r="AE154" s="8"/>
      <c r="AF154" s="10"/>
      <c r="AG154" s="10"/>
      <c r="AH154" s="25">
        <f>IFERROR(SUMIFS('04_Потребность'!$D$4:$D$103,'04_Потребность'!$A$4:$A$103,A154,'04_Потребность'!$C$4:$C$103,B154),0)</f>
        <v>0</v>
      </c>
      <c r="AI154" s="26" t="str">
        <f>IF(OR(A154="",B154=""),"",IFERROR(SUMIFS('04_Потребность'!$E$4:$E$103,'04_Потребность'!$A$4:$A$103,A154,'04_Потребность'!$C$4:$C$103,B154),0))</f>
        <v/>
      </c>
      <c r="AJ154" s="25" t="str">
        <f>IF(OR(A154="",B154=""),"",IFERROR(SUMIFS('04_Потребность'!$F$4:$F$103,'04_Потребность'!$A$4:$A$103,A154,'04_Потребность'!$C$4:$C$103,B154),0))</f>
        <v/>
      </c>
      <c r="AK154" s="29" t="str">
        <f>IF(OR(A154="",B154=""),"",IFERROR(SUMIFS('04_Потребность'!$G$4:$G$103,'04_Потребность'!$A$4:$A$103,A154,'04_Потребность'!$C$4:$C$103,B154),0))</f>
        <v/>
      </c>
      <c r="AL154" s="25" t="str">
        <f>IF('03_Настройки'!$B$7="Нет","Нет",IF(COUNTIFS('04_Потребность'!$A$4:$A$103,A154,'04_Потребность'!$C$4:$C$103,B154,'04_Потребность'!$H$4:$H$103,"Да")&gt;0,"Да","Нет"))</f>
        <v>Нет</v>
      </c>
      <c r="AM154" s="30">
        <f t="shared" si="80"/>
        <v>0</v>
      </c>
      <c r="AN154" s="30">
        <f t="shared" si="81"/>
        <v>0</v>
      </c>
      <c r="AO154" s="29">
        <f t="shared" si="82"/>
        <v>0</v>
      </c>
      <c r="AP154" s="29">
        <f t="shared" si="83"/>
        <v>0</v>
      </c>
      <c r="AQ154" s="29">
        <f t="shared" si="84"/>
        <v>0</v>
      </c>
      <c r="AR154" s="29">
        <f>IFERROR(E154*'03_Настройки'!$B$4/365*(IF(T154&gt;0,T154*V154*(1+W154)*MAX(0,N154-U154),0)+IF(X154&gt;0,X154*Z154*(1+AA154)*MAX(0,N154-Y154),0)+IF(AB154&gt;0,AB154*AD154*(1+AE154)*MAX(0,N154-AC154),0)),0)</f>
        <v>0</v>
      </c>
      <c r="AS154" s="29">
        <f t="shared" si="85"/>
        <v>0</v>
      </c>
      <c r="AT154" s="31">
        <f t="shared" si="86"/>
        <v>0</v>
      </c>
      <c r="AU154" s="31">
        <f t="shared" si="87"/>
        <v>0</v>
      </c>
      <c r="AV154" s="32">
        <f t="shared" si="88"/>
        <v>0</v>
      </c>
      <c r="AW154" s="29" t="e">
        <f t="shared" si="89"/>
        <v>#VALUE!</v>
      </c>
      <c r="AX154" s="29">
        <f t="shared" si="90"/>
        <v>0</v>
      </c>
      <c r="AY154" s="29" t="e">
        <f t="shared" si="91"/>
        <v>#VALUE!</v>
      </c>
      <c r="AZ154" s="25" t="str">
        <f>IF(AND(A154&lt;&gt;"",B154&lt;&gt;"",C154&lt;&gt;"",D154&gt;0,E154&gt;0,N154&lt;&gt;"",AH154&gt;0,O154="Да",P154="Да",BZ154="ПОЛНО",ABS(AN154-1)&lt;='03_Настройки'!$B$5,IF(T154&gt;0,AND(U154&lt;&gt;"",V154&gt;0),TRUE()),IF(X154&gt;0,AND(Y154&lt;&gt;"",Z154&gt;0),TRUE()),IF(AB154&gt;0,AND(AC154&lt;&gt;"",AD154&gt;0),TRUE()),OR(BM154="",BM154="Активна")),"Да","Нет")</f>
        <v>Нет</v>
      </c>
      <c r="BA154" s="25" t="str">
        <f t="shared" si="92"/>
        <v>Нет</v>
      </c>
      <c r="BB154" s="25" t="str">
        <f t="shared" si="93"/>
        <v/>
      </c>
      <c r="BC154" s="25" t="str">
        <f t="shared" si="94"/>
        <v/>
      </c>
      <c r="BD154" s="25" t="str">
        <f t="shared" si="95"/>
        <v/>
      </c>
      <c r="BE154" s="25" t="str">
        <f>IF(A154="","",IF(BZ154&lt;&gt;"ПОЛНО","BLOCK: неполная форма",IF(O154&lt;&gt;"Да","BLOCK: ввоз не разрешён",IF(P154&lt;&gt;"Да","BLOCK: документы не подтверждены",IF(ABS(AN154-1)&gt;'03_Настройки'!$B$5,"BLOCK: платежи не 100%",IF(AND(BM154&lt;&gt;"",BM154&lt;&gt;"Активна"),"BLOCK: позиция "&amp;BM154,IF(BA154&lt;&gt;"Да","PARTIAL: не покрывает потребность",IF(BB154="ДА","самый дешёвый"&amp;IF(BC154="ДА"," + быстрый","")&amp;IF(BD154="ДА"," + optimal",""),IF(BC154="ДА","самый быстрый"&amp;IF(BD154="ДА"," + optimal",""),IF(BD154="ДА","optimal","Допущен"))))))))))</f>
        <v/>
      </c>
      <c r="BF154" s="25">
        <f>ROW()</f>
        <v>154</v>
      </c>
      <c r="BG154" s="33"/>
      <c r="BH154" s="33"/>
      <c r="BI154" s="33"/>
      <c r="BJ154" s="33"/>
      <c r="BK154" s="33"/>
      <c r="BL154" s="34"/>
      <c r="BM154" s="33"/>
      <c r="BN154" s="35" t="str">
        <f t="shared" si="96"/>
        <v/>
      </c>
      <c r="BO154" s="36" t="str">
        <f t="shared" si="97"/>
        <v/>
      </c>
      <c r="BP154" s="33"/>
      <c r="BQ154" s="38"/>
      <c r="BR154" s="13"/>
      <c r="BS154" s="13"/>
      <c r="BT154" s="13"/>
      <c r="BU154" s="13"/>
      <c r="BV154" s="13"/>
      <c r="BW154" s="13"/>
      <c r="BX154" s="39" t="str">
        <f t="shared" si="98"/>
        <v/>
      </c>
      <c r="BY154" s="47"/>
      <c r="BZ154" s="48" t="str">
        <f t="shared" si="99"/>
        <v/>
      </c>
      <c r="CA154" s="47"/>
      <c r="CB154" s="47"/>
      <c r="CC154" s="47"/>
    </row>
    <row r="155" spans="1:81" ht="14.25" x14ac:dyDescent="0.45">
      <c r="A155" s="10"/>
      <c r="B155" s="10"/>
      <c r="C155" s="10"/>
      <c r="D155" s="10"/>
      <c r="E155" s="10"/>
      <c r="F155" s="10"/>
      <c r="G155" s="10"/>
      <c r="H155" s="25" t="str">
        <f>IFERROR(VLOOKUP(C155,'01_Поставщики'!$A$4:$M$11,2,FALSE()),"")</f>
        <v/>
      </c>
      <c r="I155" s="10"/>
      <c r="J155" s="25" t="str">
        <f>IFERROR(VLOOKUP(C155,'01_Поставщики'!$A$4:$M$11,8,FALSE()),"")</f>
        <v/>
      </c>
      <c r="K155" s="25" t="str">
        <f>IFERROR(VLOOKUP(C155,'01_Поставщики'!$A$4:$M$11,4,FALSE()),"")</f>
        <v/>
      </c>
      <c r="L155" s="25" t="str">
        <f>IFERROR(VLOOKUP(C155,'01_Поставщики'!$A$4:$M$11,10,FALSE()),"")</f>
        <v/>
      </c>
      <c r="M155" s="26" t="str">
        <f>IF(OR(A155="",B155=""),"",IFERROR(SUMIFS('04_Потребность'!$B$4:$B$103,'04_Потребность'!$A$4:$A$103,A155,'04_Потребность'!$C$4:$C$103,B155),0))</f>
        <v/>
      </c>
      <c r="N155" s="11"/>
      <c r="O155" s="10"/>
      <c r="P155" s="10"/>
      <c r="Q155" s="27"/>
      <c r="R155" s="27"/>
      <c r="S155" s="8"/>
      <c r="T155" s="8">
        <f>IFERROR(INDEX('02_Схемы оплаты'!$C$4:$C$19,MATCH($C155&amp;"|"&amp;$G155,'02_Схемы оплаты'!$H$4:$H$19,0)),0)</f>
        <v>0</v>
      </c>
      <c r="U155" s="11"/>
      <c r="V155" s="28"/>
      <c r="W155" s="8"/>
      <c r="X155" s="8">
        <f>IFERROR(INDEX('02_Схемы оплаты'!$D$4:$D$19,MATCH($C155&amp;"|"&amp;$G155,'02_Схемы оплаты'!$H$4:$H$19,0)),0)</f>
        <v>0</v>
      </c>
      <c r="Y155" s="11"/>
      <c r="Z155" s="28"/>
      <c r="AA155" s="8"/>
      <c r="AB155" s="8">
        <f>IFERROR(INDEX('02_Схемы оплаты'!$E$4:$E$19,MATCH($C155&amp;"|"&amp;$G155,'02_Схемы оплаты'!$H$4:$H$19,0)),0)</f>
        <v>0</v>
      </c>
      <c r="AC155" s="11"/>
      <c r="AD155" s="28"/>
      <c r="AE155" s="8"/>
      <c r="AF155" s="10"/>
      <c r="AG155" s="10"/>
      <c r="AH155" s="25">
        <f>IFERROR(SUMIFS('04_Потребность'!$D$4:$D$103,'04_Потребность'!$A$4:$A$103,A155,'04_Потребность'!$C$4:$C$103,B155),0)</f>
        <v>0</v>
      </c>
      <c r="AI155" s="26" t="str">
        <f>IF(OR(A155="",B155=""),"",IFERROR(SUMIFS('04_Потребность'!$E$4:$E$103,'04_Потребность'!$A$4:$A$103,A155,'04_Потребность'!$C$4:$C$103,B155),0))</f>
        <v/>
      </c>
      <c r="AJ155" s="25" t="str">
        <f>IF(OR(A155="",B155=""),"",IFERROR(SUMIFS('04_Потребность'!$F$4:$F$103,'04_Потребность'!$A$4:$A$103,A155,'04_Потребность'!$C$4:$C$103,B155),0))</f>
        <v/>
      </c>
      <c r="AK155" s="29" t="str">
        <f>IF(OR(A155="",B155=""),"",IFERROR(SUMIFS('04_Потребность'!$G$4:$G$103,'04_Потребность'!$A$4:$A$103,A155,'04_Потребность'!$C$4:$C$103,B155),0))</f>
        <v/>
      </c>
      <c r="AL155" s="25" t="str">
        <f>IF('03_Настройки'!$B$7="Нет","Нет",IF(COUNTIFS('04_Потребность'!$A$4:$A$103,A155,'04_Потребность'!$C$4:$C$103,B155,'04_Потребность'!$H$4:$H$103,"Да")&gt;0,"Да","Нет"))</f>
        <v>Нет</v>
      </c>
      <c r="AM155" s="30">
        <f t="shared" si="80"/>
        <v>0</v>
      </c>
      <c r="AN155" s="30">
        <f t="shared" si="81"/>
        <v>0</v>
      </c>
      <c r="AO155" s="29">
        <f t="shared" si="82"/>
        <v>0</v>
      </c>
      <c r="AP155" s="29">
        <f t="shared" si="83"/>
        <v>0</v>
      </c>
      <c r="AQ155" s="29">
        <f t="shared" si="84"/>
        <v>0</v>
      </c>
      <c r="AR155" s="29">
        <f>IFERROR(E155*'03_Настройки'!$B$4/365*(IF(T155&gt;0,T155*V155*(1+W155)*MAX(0,N155-U155),0)+IF(X155&gt;0,X155*Z155*(1+AA155)*MAX(0,N155-Y155),0)+IF(AB155&gt;0,AB155*AD155*(1+AE155)*MAX(0,N155-AC155),0)),0)</f>
        <v>0</v>
      </c>
      <c r="AS155" s="29">
        <f t="shared" si="85"/>
        <v>0</v>
      </c>
      <c r="AT155" s="31">
        <f t="shared" si="86"/>
        <v>0</v>
      </c>
      <c r="AU155" s="31">
        <f t="shared" si="87"/>
        <v>0</v>
      </c>
      <c r="AV155" s="32">
        <f t="shared" si="88"/>
        <v>0</v>
      </c>
      <c r="AW155" s="29" t="e">
        <f t="shared" si="89"/>
        <v>#VALUE!</v>
      </c>
      <c r="AX155" s="29">
        <f t="shared" si="90"/>
        <v>0</v>
      </c>
      <c r="AY155" s="29" t="e">
        <f t="shared" si="91"/>
        <v>#VALUE!</v>
      </c>
      <c r="AZ155" s="25" t="str">
        <f>IF(AND(A155&lt;&gt;"",B155&lt;&gt;"",C155&lt;&gt;"",D155&gt;0,E155&gt;0,N155&lt;&gt;"",AH155&gt;0,O155="Да",P155="Да",BZ155="ПОЛНО",ABS(AN155-1)&lt;='03_Настройки'!$B$5,IF(T155&gt;0,AND(U155&lt;&gt;"",V155&gt;0),TRUE()),IF(X155&gt;0,AND(Y155&lt;&gt;"",Z155&gt;0),TRUE()),IF(AB155&gt;0,AND(AC155&lt;&gt;"",AD155&gt;0),TRUE()),OR(BM155="",BM155="Активна")),"Да","Нет")</f>
        <v>Нет</v>
      </c>
      <c r="BA155" s="25" t="str">
        <f t="shared" si="92"/>
        <v>Нет</v>
      </c>
      <c r="BB155" s="25" t="str">
        <f t="shared" si="93"/>
        <v/>
      </c>
      <c r="BC155" s="25" t="str">
        <f t="shared" si="94"/>
        <v/>
      </c>
      <c r="BD155" s="25" t="str">
        <f t="shared" si="95"/>
        <v/>
      </c>
      <c r="BE155" s="25" t="str">
        <f>IF(A155="","",IF(BZ155&lt;&gt;"ПОЛНО","BLOCK: неполная форма",IF(O155&lt;&gt;"Да","BLOCK: ввоз не разрешён",IF(P155&lt;&gt;"Да","BLOCK: документы не подтверждены",IF(ABS(AN155-1)&gt;'03_Настройки'!$B$5,"BLOCK: платежи не 100%",IF(AND(BM155&lt;&gt;"",BM155&lt;&gt;"Активна"),"BLOCK: позиция "&amp;BM155,IF(BA155&lt;&gt;"Да","PARTIAL: не покрывает потребность",IF(BB155="ДА","самый дешёвый"&amp;IF(BC155="ДА"," + быстрый","")&amp;IF(BD155="ДА"," + optimal",""),IF(BC155="ДА","самый быстрый"&amp;IF(BD155="ДА"," + optimal",""),IF(BD155="ДА","optimal","Допущен"))))))))))</f>
        <v/>
      </c>
      <c r="BF155" s="25">
        <f>ROW()</f>
        <v>155</v>
      </c>
      <c r="BG155" s="33"/>
      <c r="BH155" s="33"/>
      <c r="BI155" s="33"/>
      <c r="BJ155" s="33"/>
      <c r="BK155" s="33"/>
      <c r="BL155" s="34"/>
      <c r="BM155" s="33"/>
      <c r="BN155" s="35" t="str">
        <f t="shared" si="96"/>
        <v/>
      </c>
      <c r="BO155" s="36" t="str">
        <f t="shared" si="97"/>
        <v/>
      </c>
      <c r="BP155" s="33"/>
      <c r="BQ155" s="38"/>
      <c r="BR155" s="13"/>
      <c r="BS155" s="13"/>
      <c r="BT155" s="13"/>
      <c r="BU155" s="13"/>
      <c r="BV155" s="13"/>
      <c r="BW155" s="13"/>
      <c r="BX155" s="39" t="str">
        <f t="shared" si="98"/>
        <v/>
      </c>
      <c r="BY155" s="47"/>
      <c r="BZ155" s="48" t="str">
        <f t="shared" si="99"/>
        <v/>
      </c>
      <c r="CA155" s="47"/>
      <c r="CB155" s="47"/>
      <c r="CC155" s="47"/>
    </row>
    <row r="156" spans="1:81" ht="14.25" x14ac:dyDescent="0.45">
      <c r="A156" s="10"/>
      <c r="B156" s="10"/>
      <c r="C156" s="10"/>
      <c r="D156" s="10"/>
      <c r="E156" s="10"/>
      <c r="F156" s="10"/>
      <c r="G156" s="10"/>
      <c r="H156" s="25" t="str">
        <f>IFERROR(VLOOKUP(C156,'01_Поставщики'!$A$4:$M$11,2,FALSE()),"")</f>
        <v/>
      </c>
      <c r="I156" s="10"/>
      <c r="J156" s="25" t="str">
        <f>IFERROR(VLOOKUP(C156,'01_Поставщики'!$A$4:$M$11,8,FALSE()),"")</f>
        <v/>
      </c>
      <c r="K156" s="25" t="str">
        <f>IFERROR(VLOOKUP(C156,'01_Поставщики'!$A$4:$M$11,4,FALSE()),"")</f>
        <v/>
      </c>
      <c r="L156" s="25" t="str">
        <f>IFERROR(VLOOKUP(C156,'01_Поставщики'!$A$4:$M$11,10,FALSE()),"")</f>
        <v/>
      </c>
      <c r="M156" s="26" t="str">
        <f>IF(OR(A156="",B156=""),"",IFERROR(SUMIFS('04_Потребность'!$B$4:$B$103,'04_Потребность'!$A$4:$A$103,A156,'04_Потребность'!$C$4:$C$103,B156),0))</f>
        <v/>
      </c>
      <c r="N156" s="11"/>
      <c r="O156" s="10"/>
      <c r="P156" s="10"/>
      <c r="Q156" s="27"/>
      <c r="R156" s="27"/>
      <c r="S156" s="8"/>
      <c r="T156" s="8">
        <f>IFERROR(INDEX('02_Схемы оплаты'!$C$4:$C$19,MATCH($C156&amp;"|"&amp;$G156,'02_Схемы оплаты'!$H$4:$H$19,0)),0)</f>
        <v>0</v>
      </c>
      <c r="U156" s="11"/>
      <c r="V156" s="28"/>
      <c r="W156" s="8"/>
      <c r="X156" s="8">
        <f>IFERROR(INDEX('02_Схемы оплаты'!$D$4:$D$19,MATCH($C156&amp;"|"&amp;$G156,'02_Схемы оплаты'!$H$4:$H$19,0)),0)</f>
        <v>0</v>
      </c>
      <c r="Y156" s="11"/>
      <c r="Z156" s="28"/>
      <c r="AA156" s="8"/>
      <c r="AB156" s="8">
        <f>IFERROR(INDEX('02_Схемы оплаты'!$E$4:$E$19,MATCH($C156&amp;"|"&amp;$G156,'02_Схемы оплаты'!$H$4:$H$19,0)),0)</f>
        <v>0</v>
      </c>
      <c r="AC156" s="11"/>
      <c r="AD156" s="28"/>
      <c r="AE156" s="8"/>
      <c r="AF156" s="10"/>
      <c r="AG156" s="10"/>
      <c r="AH156" s="25">
        <f>IFERROR(SUMIFS('04_Потребность'!$D$4:$D$103,'04_Потребность'!$A$4:$A$103,A156,'04_Потребность'!$C$4:$C$103,B156),0)</f>
        <v>0</v>
      </c>
      <c r="AI156" s="26" t="str">
        <f>IF(OR(A156="",B156=""),"",IFERROR(SUMIFS('04_Потребность'!$E$4:$E$103,'04_Потребность'!$A$4:$A$103,A156,'04_Потребность'!$C$4:$C$103,B156),0))</f>
        <v/>
      </c>
      <c r="AJ156" s="25" t="str">
        <f>IF(OR(A156="",B156=""),"",IFERROR(SUMIFS('04_Потребность'!$F$4:$F$103,'04_Потребность'!$A$4:$A$103,A156,'04_Потребность'!$C$4:$C$103,B156),0))</f>
        <v/>
      </c>
      <c r="AK156" s="29" t="str">
        <f>IF(OR(A156="",B156=""),"",IFERROR(SUMIFS('04_Потребность'!$G$4:$G$103,'04_Потребность'!$A$4:$A$103,A156,'04_Потребность'!$C$4:$C$103,B156),0))</f>
        <v/>
      </c>
      <c r="AL156" s="25" t="str">
        <f>IF('03_Настройки'!$B$7="Нет","Нет",IF(COUNTIFS('04_Потребность'!$A$4:$A$103,A156,'04_Потребность'!$C$4:$C$103,B156,'04_Потребность'!$H$4:$H$103,"Да")&gt;0,"Да","Нет"))</f>
        <v>Нет</v>
      </c>
      <c r="AM156" s="30">
        <f t="shared" si="80"/>
        <v>0</v>
      </c>
      <c r="AN156" s="30">
        <f t="shared" si="81"/>
        <v>0</v>
      </c>
      <c r="AO156" s="29">
        <f t="shared" si="82"/>
        <v>0</v>
      </c>
      <c r="AP156" s="29">
        <f t="shared" si="83"/>
        <v>0</v>
      </c>
      <c r="AQ156" s="29">
        <f t="shared" si="84"/>
        <v>0</v>
      </c>
      <c r="AR156" s="29">
        <f>IFERROR(E156*'03_Настройки'!$B$4/365*(IF(T156&gt;0,T156*V156*(1+W156)*MAX(0,N156-U156),0)+IF(X156&gt;0,X156*Z156*(1+AA156)*MAX(0,N156-Y156),0)+IF(AB156&gt;0,AB156*AD156*(1+AE156)*MAX(0,N156-AC156),0)),0)</f>
        <v>0</v>
      </c>
      <c r="AS156" s="29">
        <f t="shared" si="85"/>
        <v>0</v>
      </c>
      <c r="AT156" s="31">
        <f t="shared" si="86"/>
        <v>0</v>
      </c>
      <c r="AU156" s="31">
        <f t="shared" si="87"/>
        <v>0</v>
      </c>
      <c r="AV156" s="32">
        <f t="shared" si="88"/>
        <v>0</v>
      </c>
      <c r="AW156" s="29" t="e">
        <f t="shared" si="89"/>
        <v>#VALUE!</v>
      </c>
      <c r="AX156" s="29">
        <f t="shared" si="90"/>
        <v>0</v>
      </c>
      <c r="AY156" s="29" t="e">
        <f t="shared" si="91"/>
        <v>#VALUE!</v>
      </c>
      <c r="AZ156" s="25" t="str">
        <f>IF(AND(A156&lt;&gt;"",B156&lt;&gt;"",C156&lt;&gt;"",D156&gt;0,E156&gt;0,N156&lt;&gt;"",AH156&gt;0,O156="Да",P156="Да",BZ156="ПОЛНО",ABS(AN156-1)&lt;='03_Настройки'!$B$5,IF(T156&gt;0,AND(U156&lt;&gt;"",V156&gt;0),TRUE()),IF(X156&gt;0,AND(Y156&lt;&gt;"",Z156&gt;0),TRUE()),IF(AB156&gt;0,AND(AC156&lt;&gt;"",AD156&gt;0),TRUE()),OR(BM156="",BM156="Активна")),"Да","Нет")</f>
        <v>Нет</v>
      </c>
      <c r="BA156" s="25" t="str">
        <f t="shared" si="92"/>
        <v>Нет</v>
      </c>
      <c r="BB156" s="25" t="str">
        <f t="shared" si="93"/>
        <v/>
      </c>
      <c r="BC156" s="25" t="str">
        <f t="shared" si="94"/>
        <v/>
      </c>
      <c r="BD156" s="25" t="str">
        <f t="shared" si="95"/>
        <v/>
      </c>
      <c r="BE156" s="25" t="str">
        <f>IF(A156="","",IF(BZ156&lt;&gt;"ПОЛНО","BLOCK: неполная форма",IF(O156&lt;&gt;"Да","BLOCK: ввоз не разрешён",IF(P156&lt;&gt;"Да","BLOCK: документы не подтверждены",IF(ABS(AN156-1)&gt;'03_Настройки'!$B$5,"BLOCK: платежи не 100%",IF(AND(BM156&lt;&gt;"",BM156&lt;&gt;"Активна"),"BLOCK: позиция "&amp;BM156,IF(BA156&lt;&gt;"Да","PARTIAL: не покрывает потребность",IF(BB156="ДА","самый дешёвый"&amp;IF(BC156="ДА"," + быстрый","")&amp;IF(BD156="ДА"," + optimal",""),IF(BC156="ДА","самый быстрый"&amp;IF(BD156="ДА"," + optimal",""),IF(BD156="ДА","optimal","Допущен"))))))))))</f>
        <v/>
      </c>
      <c r="BF156" s="25">
        <f>ROW()</f>
        <v>156</v>
      </c>
      <c r="BG156" s="33"/>
      <c r="BH156" s="33"/>
      <c r="BI156" s="33"/>
      <c r="BJ156" s="33"/>
      <c r="BK156" s="33"/>
      <c r="BL156" s="34"/>
      <c r="BM156" s="33"/>
      <c r="BN156" s="35" t="str">
        <f t="shared" si="96"/>
        <v/>
      </c>
      <c r="BO156" s="36" t="str">
        <f t="shared" si="97"/>
        <v/>
      </c>
      <c r="BP156" s="33"/>
      <c r="BQ156" s="38"/>
      <c r="BR156" s="13"/>
      <c r="BS156" s="13"/>
      <c r="BT156" s="13"/>
      <c r="BU156" s="13"/>
      <c r="BV156" s="13"/>
      <c r="BW156" s="13"/>
      <c r="BX156" s="39" t="str">
        <f t="shared" si="98"/>
        <v/>
      </c>
      <c r="BY156" s="47"/>
      <c r="BZ156" s="48" t="str">
        <f t="shared" si="99"/>
        <v/>
      </c>
      <c r="CA156" s="47"/>
      <c r="CB156" s="47"/>
      <c r="CC156" s="47"/>
    </row>
    <row r="157" spans="1:81" ht="14.25" x14ac:dyDescent="0.45">
      <c r="A157" s="10"/>
      <c r="B157" s="10"/>
      <c r="C157" s="10"/>
      <c r="D157" s="10"/>
      <c r="E157" s="10"/>
      <c r="F157" s="10"/>
      <c r="G157" s="10"/>
      <c r="H157" s="25" t="str">
        <f>IFERROR(VLOOKUP(C157,'01_Поставщики'!$A$4:$M$11,2,FALSE()),"")</f>
        <v/>
      </c>
      <c r="I157" s="10"/>
      <c r="J157" s="25" t="str">
        <f>IFERROR(VLOOKUP(C157,'01_Поставщики'!$A$4:$M$11,8,FALSE()),"")</f>
        <v/>
      </c>
      <c r="K157" s="25" t="str">
        <f>IFERROR(VLOOKUP(C157,'01_Поставщики'!$A$4:$M$11,4,FALSE()),"")</f>
        <v/>
      </c>
      <c r="L157" s="25" t="str">
        <f>IFERROR(VLOOKUP(C157,'01_Поставщики'!$A$4:$M$11,10,FALSE()),"")</f>
        <v/>
      </c>
      <c r="M157" s="26" t="str">
        <f>IF(OR(A157="",B157=""),"",IFERROR(SUMIFS('04_Потребность'!$B$4:$B$103,'04_Потребность'!$A$4:$A$103,A157,'04_Потребность'!$C$4:$C$103,B157),0))</f>
        <v/>
      </c>
      <c r="N157" s="11"/>
      <c r="O157" s="10"/>
      <c r="P157" s="10"/>
      <c r="Q157" s="27"/>
      <c r="R157" s="27"/>
      <c r="S157" s="8"/>
      <c r="T157" s="8">
        <f>IFERROR(INDEX('02_Схемы оплаты'!$C$4:$C$19,MATCH($C157&amp;"|"&amp;$G157,'02_Схемы оплаты'!$H$4:$H$19,0)),0)</f>
        <v>0</v>
      </c>
      <c r="U157" s="11"/>
      <c r="V157" s="28"/>
      <c r="W157" s="8"/>
      <c r="X157" s="8">
        <f>IFERROR(INDEX('02_Схемы оплаты'!$D$4:$D$19,MATCH($C157&amp;"|"&amp;$G157,'02_Схемы оплаты'!$H$4:$H$19,0)),0)</f>
        <v>0</v>
      </c>
      <c r="Y157" s="11"/>
      <c r="Z157" s="28"/>
      <c r="AA157" s="8"/>
      <c r="AB157" s="8">
        <f>IFERROR(INDEX('02_Схемы оплаты'!$E$4:$E$19,MATCH($C157&amp;"|"&amp;$G157,'02_Схемы оплаты'!$H$4:$H$19,0)),0)</f>
        <v>0</v>
      </c>
      <c r="AC157" s="11"/>
      <c r="AD157" s="28"/>
      <c r="AE157" s="8"/>
      <c r="AF157" s="10"/>
      <c r="AG157" s="10"/>
      <c r="AH157" s="25">
        <f>IFERROR(SUMIFS('04_Потребность'!$D$4:$D$103,'04_Потребность'!$A$4:$A$103,A157,'04_Потребность'!$C$4:$C$103,B157),0)</f>
        <v>0</v>
      </c>
      <c r="AI157" s="26" t="str">
        <f>IF(OR(A157="",B157=""),"",IFERROR(SUMIFS('04_Потребность'!$E$4:$E$103,'04_Потребность'!$A$4:$A$103,A157,'04_Потребность'!$C$4:$C$103,B157),0))</f>
        <v/>
      </c>
      <c r="AJ157" s="25" t="str">
        <f>IF(OR(A157="",B157=""),"",IFERROR(SUMIFS('04_Потребность'!$F$4:$F$103,'04_Потребность'!$A$4:$A$103,A157,'04_Потребность'!$C$4:$C$103,B157),0))</f>
        <v/>
      </c>
      <c r="AK157" s="29" t="str">
        <f>IF(OR(A157="",B157=""),"",IFERROR(SUMIFS('04_Потребность'!$G$4:$G$103,'04_Потребность'!$A$4:$A$103,A157,'04_Потребность'!$C$4:$C$103,B157),0))</f>
        <v/>
      </c>
      <c r="AL157" s="25" t="str">
        <f>IF('03_Настройки'!$B$7="Нет","Нет",IF(COUNTIFS('04_Потребность'!$A$4:$A$103,A157,'04_Потребность'!$C$4:$C$103,B157,'04_Потребность'!$H$4:$H$103,"Да")&gt;0,"Да","Нет"))</f>
        <v>Нет</v>
      </c>
      <c r="AM157" s="30">
        <f t="shared" si="80"/>
        <v>0</v>
      </c>
      <c r="AN157" s="30">
        <f t="shared" si="81"/>
        <v>0</v>
      </c>
      <c r="AO157" s="29">
        <f t="shared" si="82"/>
        <v>0</v>
      </c>
      <c r="AP157" s="29">
        <f t="shared" si="83"/>
        <v>0</v>
      </c>
      <c r="AQ157" s="29">
        <f t="shared" si="84"/>
        <v>0</v>
      </c>
      <c r="AR157" s="29">
        <f>IFERROR(E157*'03_Настройки'!$B$4/365*(IF(T157&gt;0,T157*V157*(1+W157)*MAX(0,N157-U157),0)+IF(X157&gt;0,X157*Z157*(1+AA157)*MAX(0,N157-Y157),0)+IF(AB157&gt;0,AB157*AD157*(1+AE157)*MAX(0,N157-AC157),0)),0)</f>
        <v>0</v>
      </c>
      <c r="AS157" s="29">
        <f t="shared" si="85"/>
        <v>0</v>
      </c>
      <c r="AT157" s="31">
        <f t="shared" si="86"/>
        <v>0</v>
      </c>
      <c r="AU157" s="31">
        <f t="shared" si="87"/>
        <v>0</v>
      </c>
      <c r="AV157" s="32">
        <f t="shared" si="88"/>
        <v>0</v>
      </c>
      <c r="AW157" s="29" t="e">
        <f t="shared" si="89"/>
        <v>#VALUE!</v>
      </c>
      <c r="AX157" s="29">
        <f t="shared" si="90"/>
        <v>0</v>
      </c>
      <c r="AY157" s="29" t="e">
        <f t="shared" si="91"/>
        <v>#VALUE!</v>
      </c>
      <c r="AZ157" s="25" t="str">
        <f>IF(AND(A157&lt;&gt;"",B157&lt;&gt;"",C157&lt;&gt;"",D157&gt;0,E157&gt;0,N157&lt;&gt;"",AH157&gt;0,O157="Да",P157="Да",BZ157="ПОЛНО",ABS(AN157-1)&lt;='03_Настройки'!$B$5,IF(T157&gt;0,AND(U157&lt;&gt;"",V157&gt;0),TRUE()),IF(X157&gt;0,AND(Y157&lt;&gt;"",Z157&gt;0),TRUE()),IF(AB157&gt;0,AND(AC157&lt;&gt;"",AD157&gt;0),TRUE()),OR(BM157="",BM157="Активна")),"Да","Нет")</f>
        <v>Нет</v>
      </c>
      <c r="BA157" s="25" t="str">
        <f t="shared" si="92"/>
        <v>Нет</v>
      </c>
      <c r="BB157" s="25" t="str">
        <f t="shared" si="93"/>
        <v/>
      </c>
      <c r="BC157" s="25" t="str">
        <f t="shared" si="94"/>
        <v/>
      </c>
      <c r="BD157" s="25" t="str">
        <f t="shared" si="95"/>
        <v/>
      </c>
      <c r="BE157" s="25" t="str">
        <f>IF(A157="","",IF(BZ157&lt;&gt;"ПОЛНО","BLOCK: неполная форма",IF(O157&lt;&gt;"Да","BLOCK: ввоз не разрешён",IF(P157&lt;&gt;"Да","BLOCK: документы не подтверждены",IF(ABS(AN157-1)&gt;'03_Настройки'!$B$5,"BLOCK: платежи не 100%",IF(AND(BM157&lt;&gt;"",BM157&lt;&gt;"Активна"),"BLOCK: позиция "&amp;BM157,IF(BA157&lt;&gt;"Да","PARTIAL: не покрывает потребность",IF(BB157="ДА","самый дешёвый"&amp;IF(BC157="ДА"," + быстрый","")&amp;IF(BD157="ДА"," + optimal",""),IF(BC157="ДА","самый быстрый"&amp;IF(BD157="ДА"," + optimal",""),IF(BD157="ДА","optimal","Допущен"))))))))))</f>
        <v/>
      </c>
      <c r="BF157" s="25">
        <f>ROW()</f>
        <v>157</v>
      </c>
      <c r="BG157" s="33"/>
      <c r="BH157" s="33"/>
      <c r="BI157" s="33"/>
      <c r="BJ157" s="33"/>
      <c r="BK157" s="33"/>
      <c r="BL157" s="34"/>
      <c r="BM157" s="33"/>
      <c r="BN157" s="35" t="str">
        <f t="shared" si="96"/>
        <v/>
      </c>
      <c r="BO157" s="36" t="str">
        <f t="shared" si="97"/>
        <v/>
      </c>
      <c r="BP157" s="33"/>
      <c r="BQ157" s="38"/>
      <c r="BR157" s="13"/>
      <c r="BS157" s="13"/>
      <c r="BT157" s="13"/>
      <c r="BU157" s="13"/>
      <c r="BV157" s="13"/>
      <c r="BW157" s="13"/>
      <c r="BX157" s="39" t="str">
        <f t="shared" si="98"/>
        <v/>
      </c>
      <c r="BY157" s="47"/>
      <c r="BZ157" s="48" t="str">
        <f t="shared" si="99"/>
        <v/>
      </c>
      <c r="CA157" s="47"/>
      <c r="CB157" s="47"/>
      <c r="CC157" s="47"/>
    </row>
    <row r="158" spans="1:81" ht="14.25" x14ac:dyDescent="0.45">
      <c r="A158" s="10"/>
      <c r="B158" s="10"/>
      <c r="C158" s="10"/>
      <c r="D158" s="10"/>
      <c r="E158" s="10"/>
      <c r="F158" s="10"/>
      <c r="G158" s="10"/>
      <c r="H158" s="25" t="str">
        <f>IFERROR(VLOOKUP(C158,'01_Поставщики'!$A$4:$M$11,2,FALSE()),"")</f>
        <v/>
      </c>
      <c r="I158" s="10"/>
      <c r="J158" s="25" t="str">
        <f>IFERROR(VLOOKUP(C158,'01_Поставщики'!$A$4:$M$11,8,FALSE()),"")</f>
        <v/>
      </c>
      <c r="K158" s="25" t="str">
        <f>IFERROR(VLOOKUP(C158,'01_Поставщики'!$A$4:$M$11,4,FALSE()),"")</f>
        <v/>
      </c>
      <c r="L158" s="25" t="str">
        <f>IFERROR(VLOOKUP(C158,'01_Поставщики'!$A$4:$M$11,10,FALSE()),"")</f>
        <v/>
      </c>
      <c r="M158" s="26" t="str">
        <f>IF(OR(A158="",B158=""),"",IFERROR(SUMIFS('04_Потребность'!$B$4:$B$103,'04_Потребность'!$A$4:$A$103,A158,'04_Потребность'!$C$4:$C$103,B158),0))</f>
        <v/>
      </c>
      <c r="N158" s="11"/>
      <c r="O158" s="10"/>
      <c r="P158" s="10"/>
      <c r="Q158" s="27"/>
      <c r="R158" s="27"/>
      <c r="S158" s="8"/>
      <c r="T158" s="8">
        <f>IFERROR(INDEX('02_Схемы оплаты'!$C$4:$C$19,MATCH($C158&amp;"|"&amp;$G158,'02_Схемы оплаты'!$H$4:$H$19,0)),0)</f>
        <v>0</v>
      </c>
      <c r="U158" s="11"/>
      <c r="V158" s="28"/>
      <c r="W158" s="8"/>
      <c r="X158" s="8">
        <f>IFERROR(INDEX('02_Схемы оплаты'!$D$4:$D$19,MATCH($C158&amp;"|"&amp;$G158,'02_Схемы оплаты'!$H$4:$H$19,0)),0)</f>
        <v>0</v>
      </c>
      <c r="Y158" s="11"/>
      <c r="Z158" s="28"/>
      <c r="AA158" s="8"/>
      <c r="AB158" s="8">
        <f>IFERROR(INDEX('02_Схемы оплаты'!$E$4:$E$19,MATCH($C158&amp;"|"&amp;$G158,'02_Схемы оплаты'!$H$4:$H$19,0)),0)</f>
        <v>0</v>
      </c>
      <c r="AC158" s="11"/>
      <c r="AD158" s="28"/>
      <c r="AE158" s="8"/>
      <c r="AF158" s="10"/>
      <c r="AG158" s="10"/>
      <c r="AH158" s="25">
        <f>IFERROR(SUMIFS('04_Потребность'!$D$4:$D$103,'04_Потребность'!$A$4:$A$103,A158,'04_Потребность'!$C$4:$C$103,B158),0)</f>
        <v>0</v>
      </c>
      <c r="AI158" s="26" t="str">
        <f>IF(OR(A158="",B158=""),"",IFERROR(SUMIFS('04_Потребность'!$E$4:$E$103,'04_Потребность'!$A$4:$A$103,A158,'04_Потребность'!$C$4:$C$103,B158),0))</f>
        <v/>
      </c>
      <c r="AJ158" s="25" t="str">
        <f>IF(OR(A158="",B158=""),"",IFERROR(SUMIFS('04_Потребность'!$F$4:$F$103,'04_Потребность'!$A$4:$A$103,A158,'04_Потребность'!$C$4:$C$103,B158),0))</f>
        <v/>
      </c>
      <c r="AK158" s="29" t="str">
        <f>IF(OR(A158="",B158=""),"",IFERROR(SUMIFS('04_Потребность'!$G$4:$G$103,'04_Потребность'!$A$4:$A$103,A158,'04_Потребность'!$C$4:$C$103,B158),0))</f>
        <v/>
      </c>
      <c r="AL158" s="25" t="str">
        <f>IF('03_Настройки'!$B$7="Нет","Нет",IF(COUNTIFS('04_Потребность'!$A$4:$A$103,A158,'04_Потребность'!$C$4:$C$103,B158,'04_Потребность'!$H$4:$H$103,"Да")&gt;0,"Да","Нет"))</f>
        <v>Нет</v>
      </c>
      <c r="AM158" s="30">
        <f t="shared" si="80"/>
        <v>0</v>
      </c>
      <c r="AN158" s="30">
        <f t="shared" si="81"/>
        <v>0</v>
      </c>
      <c r="AO158" s="29">
        <f t="shared" si="82"/>
        <v>0</v>
      </c>
      <c r="AP158" s="29">
        <f t="shared" si="83"/>
        <v>0</v>
      </c>
      <c r="AQ158" s="29">
        <f t="shared" si="84"/>
        <v>0</v>
      </c>
      <c r="AR158" s="29">
        <f>IFERROR(E158*'03_Настройки'!$B$4/365*(IF(T158&gt;0,T158*V158*(1+W158)*MAX(0,N158-U158),0)+IF(X158&gt;0,X158*Z158*(1+AA158)*MAX(0,N158-Y158),0)+IF(AB158&gt;0,AB158*AD158*(1+AE158)*MAX(0,N158-AC158),0)),0)</f>
        <v>0</v>
      </c>
      <c r="AS158" s="29">
        <f t="shared" si="85"/>
        <v>0</v>
      </c>
      <c r="AT158" s="31">
        <f t="shared" si="86"/>
        <v>0</v>
      </c>
      <c r="AU158" s="31">
        <f t="shared" si="87"/>
        <v>0</v>
      </c>
      <c r="AV158" s="32">
        <f t="shared" si="88"/>
        <v>0</v>
      </c>
      <c r="AW158" s="29" t="e">
        <f t="shared" si="89"/>
        <v>#VALUE!</v>
      </c>
      <c r="AX158" s="29">
        <f t="shared" si="90"/>
        <v>0</v>
      </c>
      <c r="AY158" s="29" t="e">
        <f t="shared" si="91"/>
        <v>#VALUE!</v>
      </c>
      <c r="AZ158" s="25" t="str">
        <f>IF(AND(A158&lt;&gt;"",B158&lt;&gt;"",C158&lt;&gt;"",D158&gt;0,E158&gt;0,N158&lt;&gt;"",AH158&gt;0,O158="Да",P158="Да",BZ158="ПОЛНО",ABS(AN158-1)&lt;='03_Настройки'!$B$5,IF(T158&gt;0,AND(U158&lt;&gt;"",V158&gt;0),TRUE()),IF(X158&gt;0,AND(Y158&lt;&gt;"",Z158&gt;0),TRUE()),IF(AB158&gt;0,AND(AC158&lt;&gt;"",AD158&gt;0),TRUE()),OR(BM158="",BM158="Активна")),"Да","Нет")</f>
        <v>Нет</v>
      </c>
      <c r="BA158" s="25" t="str">
        <f t="shared" si="92"/>
        <v>Нет</v>
      </c>
      <c r="BB158" s="25" t="str">
        <f t="shared" si="93"/>
        <v/>
      </c>
      <c r="BC158" s="25" t="str">
        <f t="shared" si="94"/>
        <v/>
      </c>
      <c r="BD158" s="25" t="str">
        <f t="shared" si="95"/>
        <v/>
      </c>
      <c r="BE158" s="25" t="str">
        <f>IF(A158="","",IF(BZ158&lt;&gt;"ПОЛНО","BLOCK: неполная форма",IF(O158&lt;&gt;"Да","BLOCK: ввоз не разрешён",IF(P158&lt;&gt;"Да","BLOCK: документы не подтверждены",IF(ABS(AN158-1)&gt;'03_Настройки'!$B$5,"BLOCK: платежи не 100%",IF(AND(BM158&lt;&gt;"",BM158&lt;&gt;"Активна"),"BLOCK: позиция "&amp;BM158,IF(BA158&lt;&gt;"Да","PARTIAL: не покрывает потребность",IF(BB158="ДА","самый дешёвый"&amp;IF(BC158="ДА"," + быстрый","")&amp;IF(BD158="ДА"," + optimal",""),IF(BC158="ДА","самый быстрый"&amp;IF(BD158="ДА"," + optimal",""),IF(BD158="ДА","optimal","Допущен"))))))))))</f>
        <v/>
      </c>
      <c r="BF158" s="25">
        <f>ROW()</f>
        <v>158</v>
      </c>
      <c r="BG158" s="33"/>
      <c r="BH158" s="33"/>
      <c r="BI158" s="33"/>
      <c r="BJ158" s="33"/>
      <c r="BK158" s="33"/>
      <c r="BL158" s="34"/>
      <c r="BM158" s="33"/>
      <c r="BN158" s="35" t="str">
        <f t="shared" si="96"/>
        <v/>
      </c>
      <c r="BO158" s="36" t="str">
        <f t="shared" si="97"/>
        <v/>
      </c>
      <c r="BP158" s="33"/>
      <c r="BQ158" s="38"/>
      <c r="BR158" s="13"/>
      <c r="BS158" s="13"/>
      <c r="BT158" s="13"/>
      <c r="BU158" s="13"/>
      <c r="BV158" s="13"/>
      <c r="BW158" s="13"/>
      <c r="BX158" s="39" t="str">
        <f t="shared" si="98"/>
        <v/>
      </c>
      <c r="BY158" s="47"/>
      <c r="BZ158" s="48" t="str">
        <f t="shared" si="99"/>
        <v/>
      </c>
      <c r="CA158" s="47"/>
      <c r="CB158" s="47"/>
      <c r="CC158" s="47"/>
    </row>
    <row r="159" spans="1:81" ht="14.25" x14ac:dyDescent="0.45">
      <c r="A159" s="10"/>
      <c r="B159" s="10"/>
      <c r="C159" s="10"/>
      <c r="D159" s="10"/>
      <c r="E159" s="10"/>
      <c r="F159" s="10"/>
      <c r="G159" s="10"/>
      <c r="H159" s="25" t="str">
        <f>IFERROR(VLOOKUP(C159,'01_Поставщики'!$A$4:$M$11,2,FALSE()),"")</f>
        <v/>
      </c>
      <c r="I159" s="10"/>
      <c r="J159" s="25" t="str">
        <f>IFERROR(VLOOKUP(C159,'01_Поставщики'!$A$4:$M$11,8,FALSE()),"")</f>
        <v/>
      </c>
      <c r="K159" s="25" t="str">
        <f>IFERROR(VLOOKUP(C159,'01_Поставщики'!$A$4:$M$11,4,FALSE()),"")</f>
        <v/>
      </c>
      <c r="L159" s="25" t="str">
        <f>IFERROR(VLOOKUP(C159,'01_Поставщики'!$A$4:$M$11,10,FALSE()),"")</f>
        <v/>
      </c>
      <c r="M159" s="26" t="str">
        <f>IF(OR(A159="",B159=""),"",IFERROR(SUMIFS('04_Потребность'!$B$4:$B$103,'04_Потребность'!$A$4:$A$103,A159,'04_Потребность'!$C$4:$C$103,B159),0))</f>
        <v/>
      </c>
      <c r="N159" s="11"/>
      <c r="O159" s="10"/>
      <c r="P159" s="10"/>
      <c r="Q159" s="27"/>
      <c r="R159" s="27"/>
      <c r="S159" s="8"/>
      <c r="T159" s="8">
        <f>IFERROR(INDEX('02_Схемы оплаты'!$C$4:$C$19,MATCH($C159&amp;"|"&amp;$G159,'02_Схемы оплаты'!$H$4:$H$19,0)),0)</f>
        <v>0</v>
      </c>
      <c r="U159" s="11"/>
      <c r="V159" s="28"/>
      <c r="W159" s="8"/>
      <c r="X159" s="8">
        <f>IFERROR(INDEX('02_Схемы оплаты'!$D$4:$D$19,MATCH($C159&amp;"|"&amp;$G159,'02_Схемы оплаты'!$H$4:$H$19,0)),0)</f>
        <v>0</v>
      </c>
      <c r="Y159" s="11"/>
      <c r="Z159" s="28"/>
      <c r="AA159" s="8"/>
      <c r="AB159" s="8">
        <f>IFERROR(INDEX('02_Схемы оплаты'!$E$4:$E$19,MATCH($C159&amp;"|"&amp;$G159,'02_Схемы оплаты'!$H$4:$H$19,0)),0)</f>
        <v>0</v>
      </c>
      <c r="AC159" s="11"/>
      <c r="AD159" s="28"/>
      <c r="AE159" s="8"/>
      <c r="AF159" s="10"/>
      <c r="AG159" s="10"/>
      <c r="AH159" s="25">
        <f>IFERROR(SUMIFS('04_Потребность'!$D$4:$D$103,'04_Потребность'!$A$4:$A$103,A159,'04_Потребность'!$C$4:$C$103,B159),0)</f>
        <v>0</v>
      </c>
      <c r="AI159" s="26" t="str">
        <f>IF(OR(A159="",B159=""),"",IFERROR(SUMIFS('04_Потребность'!$E$4:$E$103,'04_Потребность'!$A$4:$A$103,A159,'04_Потребность'!$C$4:$C$103,B159),0))</f>
        <v/>
      </c>
      <c r="AJ159" s="25" t="str">
        <f>IF(OR(A159="",B159=""),"",IFERROR(SUMIFS('04_Потребность'!$F$4:$F$103,'04_Потребность'!$A$4:$A$103,A159,'04_Потребность'!$C$4:$C$103,B159),0))</f>
        <v/>
      </c>
      <c r="AK159" s="29" t="str">
        <f>IF(OR(A159="",B159=""),"",IFERROR(SUMIFS('04_Потребность'!$G$4:$G$103,'04_Потребность'!$A$4:$A$103,A159,'04_Потребность'!$C$4:$C$103,B159),0))</f>
        <v/>
      </c>
      <c r="AL159" s="25" t="str">
        <f>IF('03_Настройки'!$B$7="Нет","Нет",IF(COUNTIFS('04_Потребность'!$A$4:$A$103,A159,'04_Потребность'!$C$4:$C$103,B159,'04_Потребность'!$H$4:$H$103,"Да")&gt;0,"Да","Нет"))</f>
        <v>Нет</v>
      </c>
      <c r="AM159" s="30">
        <f t="shared" si="80"/>
        <v>0</v>
      </c>
      <c r="AN159" s="30">
        <f t="shared" si="81"/>
        <v>0</v>
      </c>
      <c r="AO159" s="29">
        <f t="shared" si="82"/>
        <v>0</v>
      </c>
      <c r="AP159" s="29">
        <f t="shared" si="83"/>
        <v>0</v>
      </c>
      <c r="AQ159" s="29">
        <f t="shared" si="84"/>
        <v>0</v>
      </c>
      <c r="AR159" s="29">
        <f>IFERROR(E159*'03_Настройки'!$B$4/365*(IF(T159&gt;0,T159*V159*(1+W159)*MAX(0,N159-U159),0)+IF(X159&gt;0,X159*Z159*(1+AA159)*MAX(0,N159-Y159),0)+IF(AB159&gt;0,AB159*AD159*(1+AE159)*MAX(0,N159-AC159),0)),0)</f>
        <v>0</v>
      </c>
      <c r="AS159" s="29">
        <f t="shared" si="85"/>
        <v>0</v>
      </c>
      <c r="AT159" s="31">
        <f t="shared" si="86"/>
        <v>0</v>
      </c>
      <c r="AU159" s="31">
        <f t="shared" si="87"/>
        <v>0</v>
      </c>
      <c r="AV159" s="32">
        <f t="shared" si="88"/>
        <v>0</v>
      </c>
      <c r="AW159" s="29" t="e">
        <f t="shared" si="89"/>
        <v>#VALUE!</v>
      </c>
      <c r="AX159" s="29">
        <f t="shared" si="90"/>
        <v>0</v>
      </c>
      <c r="AY159" s="29" t="e">
        <f t="shared" si="91"/>
        <v>#VALUE!</v>
      </c>
      <c r="AZ159" s="25" t="str">
        <f>IF(AND(A159&lt;&gt;"",B159&lt;&gt;"",C159&lt;&gt;"",D159&gt;0,E159&gt;0,N159&lt;&gt;"",AH159&gt;0,O159="Да",P159="Да",BZ159="ПОЛНО",ABS(AN159-1)&lt;='03_Настройки'!$B$5,IF(T159&gt;0,AND(U159&lt;&gt;"",V159&gt;0),TRUE()),IF(X159&gt;0,AND(Y159&lt;&gt;"",Z159&gt;0),TRUE()),IF(AB159&gt;0,AND(AC159&lt;&gt;"",AD159&gt;0),TRUE()),OR(BM159="",BM159="Активна")),"Да","Нет")</f>
        <v>Нет</v>
      </c>
      <c r="BA159" s="25" t="str">
        <f t="shared" si="92"/>
        <v>Нет</v>
      </c>
      <c r="BB159" s="25" t="str">
        <f t="shared" si="93"/>
        <v/>
      </c>
      <c r="BC159" s="25" t="str">
        <f t="shared" si="94"/>
        <v/>
      </c>
      <c r="BD159" s="25" t="str">
        <f t="shared" si="95"/>
        <v/>
      </c>
      <c r="BE159" s="25" t="str">
        <f>IF(A159="","",IF(BZ159&lt;&gt;"ПОЛНО","BLOCK: неполная форма",IF(O159&lt;&gt;"Да","BLOCK: ввоз не разрешён",IF(P159&lt;&gt;"Да","BLOCK: документы не подтверждены",IF(ABS(AN159-1)&gt;'03_Настройки'!$B$5,"BLOCK: платежи не 100%",IF(AND(BM159&lt;&gt;"",BM159&lt;&gt;"Активна"),"BLOCK: позиция "&amp;BM159,IF(BA159&lt;&gt;"Да","PARTIAL: не покрывает потребность",IF(BB159="ДА","самый дешёвый"&amp;IF(BC159="ДА"," + быстрый","")&amp;IF(BD159="ДА"," + optimal",""),IF(BC159="ДА","самый быстрый"&amp;IF(BD159="ДА"," + optimal",""),IF(BD159="ДА","optimal","Допущен"))))))))))</f>
        <v/>
      </c>
      <c r="BF159" s="25">
        <f>ROW()</f>
        <v>159</v>
      </c>
      <c r="BG159" s="33"/>
      <c r="BH159" s="33"/>
      <c r="BI159" s="33"/>
      <c r="BJ159" s="33"/>
      <c r="BK159" s="33"/>
      <c r="BL159" s="34"/>
      <c r="BM159" s="33"/>
      <c r="BN159" s="35" t="str">
        <f t="shared" si="96"/>
        <v/>
      </c>
      <c r="BO159" s="36" t="str">
        <f t="shared" si="97"/>
        <v/>
      </c>
      <c r="BP159" s="33"/>
      <c r="BQ159" s="38"/>
      <c r="BR159" s="13"/>
      <c r="BS159" s="13"/>
      <c r="BT159" s="13"/>
      <c r="BU159" s="13"/>
      <c r="BV159" s="13"/>
      <c r="BW159" s="13"/>
      <c r="BX159" s="39" t="str">
        <f t="shared" si="98"/>
        <v/>
      </c>
      <c r="BY159" s="47"/>
      <c r="BZ159" s="48" t="str">
        <f t="shared" si="99"/>
        <v/>
      </c>
      <c r="CA159" s="47"/>
      <c r="CB159" s="47"/>
      <c r="CC159" s="47"/>
    </row>
    <row r="160" spans="1:81" ht="14.25" x14ac:dyDescent="0.45">
      <c r="A160" s="10"/>
      <c r="B160" s="10"/>
      <c r="C160" s="10"/>
      <c r="D160" s="10"/>
      <c r="E160" s="10"/>
      <c r="F160" s="10"/>
      <c r="G160" s="10"/>
      <c r="H160" s="25" t="str">
        <f>IFERROR(VLOOKUP(C160,'01_Поставщики'!$A$4:$M$11,2,FALSE()),"")</f>
        <v/>
      </c>
      <c r="I160" s="10"/>
      <c r="J160" s="25" t="str">
        <f>IFERROR(VLOOKUP(C160,'01_Поставщики'!$A$4:$M$11,8,FALSE()),"")</f>
        <v/>
      </c>
      <c r="K160" s="25" t="str">
        <f>IFERROR(VLOOKUP(C160,'01_Поставщики'!$A$4:$M$11,4,FALSE()),"")</f>
        <v/>
      </c>
      <c r="L160" s="25" t="str">
        <f>IFERROR(VLOOKUP(C160,'01_Поставщики'!$A$4:$M$11,10,FALSE()),"")</f>
        <v/>
      </c>
      <c r="M160" s="26" t="str">
        <f>IF(OR(A160="",B160=""),"",IFERROR(SUMIFS('04_Потребность'!$B$4:$B$103,'04_Потребность'!$A$4:$A$103,A160,'04_Потребность'!$C$4:$C$103,B160),0))</f>
        <v/>
      </c>
      <c r="N160" s="11"/>
      <c r="O160" s="10"/>
      <c r="P160" s="10"/>
      <c r="Q160" s="27"/>
      <c r="R160" s="27"/>
      <c r="S160" s="8"/>
      <c r="T160" s="8">
        <f>IFERROR(INDEX('02_Схемы оплаты'!$C$4:$C$19,MATCH($C160&amp;"|"&amp;$G160,'02_Схемы оплаты'!$H$4:$H$19,0)),0)</f>
        <v>0</v>
      </c>
      <c r="U160" s="11"/>
      <c r="V160" s="28"/>
      <c r="W160" s="8"/>
      <c r="X160" s="8">
        <f>IFERROR(INDEX('02_Схемы оплаты'!$D$4:$D$19,MATCH($C160&amp;"|"&amp;$G160,'02_Схемы оплаты'!$H$4:$H$19,0)),0)</f>
        <v>0</v>
      </c>
      <c r="Y160" s="11"/>
      <c r="Z160" s="28"/>
      <c r="AA160" s="8"/>
      <c r="AB160" s="8">
        <f>IFERROR(INDEX('02_Схемы оплаты'!$E$4:$E$19,MATCH($C160&amp;"|"&amp;$G160,'02_Схемы оплаты'!$H$4:$H$19,0)),0)</f>
        <v>0</v>
      </c>
      <c r="AC160" s="11"/>
      <c r="AD160" s="28"/>
      <c r="AE160" s="8"/>
      <c r="AF160" s="10"/>
      <c r="AG160" s="10"/>
      <c r="AH160" s="25">
        <f>IFERROR(SUMIFS('04_Потребность'!$D$4:$D$103,'04_Потребность'!$A$4:$A$103,A160,'04_Потребность'!$C$4:$C$103,B160),0)</f>
        <v>0</v>
      </c>
      <c r="AI160" s="26" t="str">
        <f>IF(OR(A160="",B160=""),"",IFERROR(SUMIFS('04_Потребность'!$E$4:$E$103,'04_Потребность'!$A$4:$A$103,A160,'04_Потребность'!$C$4:$C$103,B160),0))</f>
        <v/>
      </c>
      <c r="AJ160" s="25" t="str">
        <f>IF(OR(A160="",B160=""),"",IFERROR(SUMIFS('04_Потребность'!$F$4:$F$103,'04_Потребность'!$A$4:$A$103,A160,'04_Потребность'!$C$4:$C$103,B160),0))</f>
        <v/>
      </c>
      <c r="AK160" s="29" t="str">
        <f>IF(OR(A160="",B160=""),"",IFERROR(SUMIFS('04_Потребность'!$G$4:$G$103,'04_Потребность'!$A$4:$A$103,A160,'04_Потребность'!$C$4:$C$103,B160),0))</f>
        <v/>
      </c>
      <c r="AL160" s="25" t="str">
        <f>IF('03_Настройки'!$B$7="Нет","Нет",IF(COUNTIFS('04_Потребность'!$A$4:$A$103,A160,'04_Потребность'!$C$4:$C$103,B160,'04_Потребность'!$H$4:$H$103,"Да")&gt;0,"Да","Нет"))</f>
        <v>Нет</v>
      </c>
      <c r="AM160" s="30">
        <f t="shared" si="80"/>
        <v>0</v>
      </c>
      <c r="AN160" s="30">
        <f t="shared" si="81"/>
        <v>0</v>
      </c>
      <c r="AO160" s="29">
        <f t="shared" si="82"/>
        <v>0</v>
      </c>
      <c r="AP160" s="29">
        <f t="shared" si="83"/>
        <v>0</v>
      </c>
      <c r="AQ160" s="29">
        <f t="shared" si="84"/>
        <v>0</v>
      </c>
      <c r="AR160" s="29">
        <f>IFERROR(E160*'03_Настройки'!$B$4/365*(IF(T160&gt;0,T160*V160*(1+W160)*MAX(0,N160-U160),0)+IF(X160&gt;0,X160*Z160*(1+AA160)*MAX(0,N160-Y160),0)+IF(AB160&gt;0,AB160*AD160*(1+AE160)*MAX(0,N160-AC160),0)),0)</f>
        <v>0</v>
      </c>
      <c r="AS160" s="29">
        <f t="shared" si="85"/>
        <v>0</v>
      </c>
      <c r="AT160" s="31">
        <f t="shared" si="86"/>
        <v>0</v>
      </c>
      <c r="AU160" s="31">
        <f t="shared" si="87"/>
        <v>0</v>
      </c>
      <c r="AV160" s="32">
        <f t="shared" si="88"/>
        <v>0</v>
      </c>
      <c r="AW160" s="29" t="e">
        <f t="shared" si="89"/>
        <v>#VALUE!</v>
      </c>
      <c r="AX160" s="29">
        <f t="shared" si="90"/>
        <v>0</v>
      </c>
      <c r="AY160" s="29" t="e">
        <f t="shared" si="91"/>
        <v>#VALUE!</v>
      </c>
      <c r="AZ160" s="25" t="str">
        <f>IF(AND(A160&lt;&gt;"",B160&lt;&gt;"",C160&lt;&gt;"",D160&gt;0,E160&gt;0,N160&lt;&gt;"",AH160&gt;0,O160="Да",P160="Да",BZ160="ПОЛНО",ABS(AN160-1)&lt;='03_Настройки'!$B$5,IF(T160&gt;0,AND(U160&lt;&gt;"",V160&gt;0),TRUE()),IF(X160&gt;0,AND(Y160&lt;&gt;"",Z160&gt;0),TRUE()),IF(AB160&gt;0,AND(AC160&lt;&gt;"",AD160&gt;0),TRUE()),OR(BM160="",BM160="Активна")),"Да","Нет")</f>
        <v>Нет</v>
      </c>
      <c r="BA160" s="25" t="str">
        <f t="shared" si="92"/>
        <v>Нет</v>
      </c>
      <c r="BB160" s="25" t="str">
        <f t="shared" si="93"/>
        <v/>
      </c>
      <c r="BC160" s="25" t="str">
        <f t="shared" si="94"/>
        <v/>
      </c>
      <c r="BD160" s="25" t="str">
        <f t="shared" si="95"/>
        <v/>
      </c>
      <c r="BE160" s="25" t="str">
        <f>IF(A160="","",IF(BZ160&lt;&gt;"ПОЛНО","BLOCK: неполная форма",IF(O160&lt;&gt;"Да","BLOCK: ввоз не разрешён",IF(P160&lt;&gt;"Да","BLOCK: документы не подтверждены",IF(ABS(AN160-1)&gt;'03_Настройки'!$B$5,"BLOCK: платежи не 100%",IF(AND(BM160&lt;&gt;"",BM160&lt;&gt;"Активна"),"BLOCK: позиция "&amp;BM160,IF(BA160&lt;&gt;"Да","PARTIAL: не покрывает потребность",IF(BB160="ДА","самый дешёвый"&amp;IF(BC160="ДА"," + быстрый","")&amp;IF(BD160="ДА"," + optimal",""),IF(BC160="ДА","самый быстрый"&amp;IF(BD160="ДА"," + optimal",""),IF(BD160="ДА","optimal","Допущен"))))))))))</f>
        <v/>
      </c>
      <c r="BF160" s="25">
        <f>ROW()</f>
        <v>160</v>
      </c>
      <c r="BG160" s="33"/>
      <c r="BH160" s="33"/>
      <c r="BI160" s="33"/>
      <c r="BJ160" s="33"/>
      <c r="BK160" s="33"/>
      <c r="BL160" s="34"/>
      <c r="BM160" s="33"/>
      <c r="BN160" s="35" t="str">
        <f t="shared" si="96"/>
        <v/>
      </c>
      <c r="BO160" s="36" t="str">
        <f t="shared" si="97"/>
        <v/>
      </c>
      <c r="BP160" s="33"/>
      <c r="BQ160" s="38"/>
      <c r="BR160" s="13"/>
      <c r="BS160" s="13"/>
      <c r="BT160" s="13"/>
      <c r="BU160" s="13"/>
      <c r="BV160" s="13"/>
      <c r="BW160" s="13"/>
      <c r="BX160" s="39" t="str">
        <f t="shared" si="98"/>
        <v/>
      </c>
      <c r="BY160" s="47"/>
      <c r="BZ160" s="48" t="str">
        <f t="shared" si="99"/>
        <v/>
      </c>
      <c r="CA160" s="47"/>
      <c r="CB160" s="47"/>
      <c r="CC160" s="47"/>
    </row>
    <row r="161" spans="1:81" ht="14.25" x14ac:dyDescent="0.45">
      <c r="A161" s="10"/>
      <c r="B161" s="10"/>
      <c r="C161" s="10"/>
      <c r="D161" s="10"/>
      <c r="E161" s="10"/>
      <c r="F161" s="10"/>
      <c r="G161" s="10"/>
      <c r="H161" s="25" t="str">
        <f>IFERROR(VLOOKUP(C161,'01_Поставщики'!$A$4:$M$11,2,FALSE()),"")</f>
        <v/>
      </c>
      <c r="I161" s="10"/>
      <c r="J161" s="25" t="str">
        <f>IFERROR(VLOOKUP(C161,'01_Поставщики'!$A$4:$M$11,8,FALSE()),"")</f>
        <v/>
      </c>
      <c r="K161" s="25" t="str">
        <f>IFERROR(VLOOKUP(C161,'01_Поставщики'!$A$4:$M$11,4,FALSE()),"")</f>
        <v/>
      </c>
      <c r="L161" s="25" t="str">
        <f>IFERROR(VLOOKUP(C161,'01_Поставщики'!$A$4:$M$11,10,FALSE()),"")</f>
        <v/>
      </c>
      <c r="M161" s="26" t="str">
        <f>IF(OR(A161="",B161=""),"",IFERROR(SUMIFS('04_Потребность'!$B$4:$B$103,'04_Потребность'!$A$4:$A$103,A161,'04_Потребность'!$C$4:$C$103,B161),0))</f>
        <v/>
      </c>
      <c r="N161" s="11"/>
      <c r="O161" s="10"/>
      <c r="P161" s="10"/>
      <c r="Q161" s="27"/>
      <c r="R161" s="27"/>
      <c r="S161" s="8"/>
      <c r="T161" s="8">
        <f>IFERROR(INDEX('02_Схемы оплаты'!$C$4:$C$19,MATCH($C161&amp;"|"&amp;$G161,'02_Схемы оплаты'!$H$4:$H$19,0)),0)</f>
        <v>0</v>
      </c>
      <c r="U161" s="11"/>
      <c r="V161" s="28"/>
      <c r="W161" s="8"/>
      <c r="X161" s="8">
        <f>IFERROR(INDEX('02_Схемы оплаты'!$D$4:$D$19,MATCH($C161&amp;"|"&amp;$G161,'02_Схемы оплаты'!$H$4:$H$19,0)),0)</f>
        <v>0</v>
      </c>
      <c r="Y161" s="11"/>
      <c r="Z161" s="28"/>
      <c r="AA161" s="8"/>
      <c r="AB161" s="8">
        <f>IFERROR(INDEX('02_Схемы оплаты'!$E$4:$E$19,MATCH($C161&amp;"|"&amp;$G161,'02_Схемы оплаты'!$H$4:$H$19,0)),0)</f>
        <v>0</v>
      </c>
      <c r="AC161" s="11"/>
      <c r="AD161" s="28"/>
      <c r="AE161" s="8"/>
      <c r="AF161" s="10"/>
      <c r="AG161" s="10"/>
      <c r="AH161" s="25">
        <f>IFERROR(SUMIFS('04_Потребность'!$D$4:$D$103,'04_Потребность'!$A$4:$A$103,A161,'04_Потребность'!$C$4:$C$103,B161),0)</f>
        <v>0</v>
      </c>
      <c r="AI161" s="26" t="str">
        <f>IF(OR(A161="",B161=""),"",IFERROR(SUMIFS('04_Потребность'!$E$4:$E$103,'04_Потребность'!$A$4:$A$103,A161,'04_Потребность'!$C$4:$C$103,B161),0))</f>
        <v/>
      </c>
      <c r="AJ161" s="25" t="str">
        <f>IF(OR(A161="",B161=""),"",IFERROR(SUMIFS('04_Потребность'!$F$4:$F$103,'04_Потребность'!$A$4:$A$103,A161,'04_Потребность'!$C$4:$C$103,B161),0))</f>
        <v/>
      </c>
      <c r="AK161" s="29" t="str">
        <f>IF(OR(A161="",B161=""),"",IFERROR(SUMIFS('04_Потребность'!$G$4:$G$103,'04_Потребность'!$A$4:$A$103,A161,'04_Потребность'!$C$4:$C$103,B161),0))</f>
        <v/>
      </c>
      <c r="AL161" s="25" t="str">
        <f>IF('03_Настройки'!$B$7="Нет","Нет",IF(COUNTIFS('04_Потребность'!$A$4:$A$103,A161,'04_Потребность'!$C$4:$C$103,B161,'04_Потребность'!$H$4:$H$103,"Да")&gt;0,"Да","Нет"))</f>
        <v>Нет</v>
      </c>
      <c r="AM161" s="30">
        <f t="shared" si="80"/>
        <v>0</v>
      </c>
      <c r="AN161" s="30">
        <f t="shared" si="81"/>
        <v>0</v>
      </c>
      <c r="AO161" s="29">
        <f t="shared" si="82"/>
        <v>0</v>
      </c>
      <c r="AP161" s="29">
        <f t="shared" si="83"/>
        <v>0</v>
      </c>
      <c r="AQ161" s="29">
        <f t="shared" si="84"/>
        <v>0</v>
      </c>
      <c r="AR161" s="29">
        <f>IFERROR(E161*'03_Настройки'!$B$4/365*(IF(T161&gt;0,T161*V161*(1+W161)*MAX(0,N161-U161),0)+IF(X161&gt;0,X161*Z161*(1+AA161)*MAX(0,N161-Y161),0)+IF(AB161&gt;0,AB161*AD161*(1+AE161)*MAX(0,N161-AC161),0)),0)</f>
        <v>0</v>
      </c>
      <c r="AS161" s="29">
        <f t="shared" si="85"/>
        <v>0</v>
      </c>
      <c r="AT161" s="31">
        <f t="shared" si="86"/>
        <v>0</v>
      </c>
      <c r="AU161" s="31">
        <f t="shared" si="87"/>
        <v>0</v>
      </c>
      <c r="AV161" s="32">
        <f t="shared" si="88"/>
        <v>0</v>
      </c>
      <c r="AW161" s="29" t="e">
        <f t="shared" si="89"/>
        <v>#VALUE!</v>
      </c>
      <c r="AX161" s="29">
        <f t="shared" si="90"/>
        <v>0</v>
      </c>
      <c r="AY161" s="29" t="e">
        <f t="shared" si="91"/>
        <v>#VALUE!</v>
      </c>
      <c r="AZ161" s="25" t="str">
        <f>IF(AND(A161&lt;&gt;"",B161&lt;&gt;"",C161&lt;&gt;"",D161&gt;0,E161&gt;0,N161&lt;&gt;"",AH161&gt;0,O161="Да",P161="Да",BZ161="ПОЛНО",ABS(AN161-1)&lt;='03_Настройки'!$B$5,IF(T161&gt;0,AND(U161&lt;&gt;"",V161&gt;0),TRUE()),IF(X161&gt;0,AND(Y161&lt;&gt;"",Z161&gt;0),TRUE()),IF(AB161&gt;0,AND(AC161&lt;&gt;"",AD161&gt;0),TRUE()),OR(BM161="",BM161="Активна")),"Да","Нет")</f>
        <v>Нет</v>
      </c>
      <c r="BA161" s="25" t="str">
        <f t="shared" si="92"/>
        <v>Нет</v>
      </c>
      <c r="BB161" s="25" t="str">
        <f t="shared" si="93"/>
        <v/>
      </c>
      <c r="BC161" s="25" t="str">
        <f t="shared" si="94"/>
        <v/>
      </c>
      <c r="BD161" s="25" t="str">
        <f t="shared" si="95"/>
        <v/>
      </c>
      <c r="BE161" s="25" t="str">
        <f>IF(A161="","",IF(BZ161&lt;&gt;"ПОЛНО","BLOCK: неполная форма",IF(O161&lt;&gt;"Да","BLOCK: ввоз не разрешён",IF(P161&lt;&gt;"Да","BLOCK: документы не подтверждены",IF(ABS(AN161-1)&gt;'03_Настройки'!$B$5,"BLOCK: платежи не 100%",IF(AND(BM161&lt;&gt;"",BM161&lt;&gt;"Активна"),"BLOCK: позиция "&amp;BM161,IF(BA161&lt;&gt;"Да","PARTIAL: не покрывает потребность",IF(BB161="ДА","самый дешёвый"&amp;IF(BC161="ДА"," + быстрый","")&amp;IF(BD161="ДА"," + optimal",""),IF(BC161="ДА","самый быстрый"&amp;IF(BD161="ДА"," + optimal",""),IF(BD161="ДА","optimal","Допущен"))))))))))</f>
        <v/>
      </c>
      <c r="BF161" s="25">
        <f>ROW()</f>
        <v>161</v>
      </c>
      <c r="BG161" s="33"/>
      <c r="BH161" s="33"/>
      <c r="BI161" s="33"/>
      <c r="BJ161" s="33"/>
      <c r="BK161" s="33"/>
      <c r="BL161" s="34"/>
      <c r="BM161" s="33"/>
      <c r="BN161" s="35" t="str">
        <f t="shared" si="96"/>
        <v/>
      </c>
      <c r="BO161" s="36" t="str">
        <f t="shared" si="97"/>
        <v/>
      </c>
      <c r="BP161" s="33"/>
      <c r="BQ161" s="38"/>
      <c r="BR161" s="13"/>
      <c r="BS161" s="13"/>
      <c r="BT161" s="13"/>
      <c r="BU161" s="13"/>
      <c r="BV161" s="13"/>
      <c r="BW161" s="13"/>
      <c r="BX161" s="39" t="str">
        <f t="shared" si="98"/>
        <v/>
      </c>
      <c r="BY161" s="47"/>
      <c r="BZ161" s="48" t="str">
        <f t="shared" si="99"/>
        <v/>
      </c>
      <c r="CA161" s="47"/>
      <c r="CB161" s="47"/>
      <c r="CC161" s="47"/>
    </row>
    <row r="162" spans="1:81" ht="14.25" x14ac:dyDescent="0.45">
      <c r="A162" s="10"/>
      <c r="B162" s="10"/>
      <c r="C162" s="10"/>
      <c r="D162" s="10"/>
      <c r="E162" s="10"/>
      <c r="F162" s="10"/>
      <c r="G162" s="10"/>
      <c r="H162" s="25" t="str">
        <f>IFERROR(VLOOKUP(C162,'01_Поставщики'!$A$4:$M$11,2,FALSE()),"")</f>
        <v/>
      </c>
      <c r="I162" s="10"/>
      <c r="J162" s="25" t="str">
        <f>IFERROR(VLOOKUP(C162,'01_Поставщики'!$A$4:$M$11,8,FALSE()),"")</f>
        <v/>
      </c>
      <c r="K162" s="25" t="str">
        <f>IFERROR(VLOOKUP(C162,'01_Поставщики'!$A$4:$M$11,4,FALSE()),"")</f>
        <v/>
      </c>
      <c r="L162" s="25" t="str">
        <f>IFERROR(VLOOKUP(C162,'01_Поставщики'!$A$4:$M$11,10,FALSE()),"")</f>
        <v/>
      </c>
      <c r="M162" s="26" t="str">
        <f>IF(OR(A162="",B162=""),"",IFERROR(SUMIFS('04_Потребность'!$B$4:$B$103,'04_Потребность'!$A$4:$A$103,A162,'04_Потребность'!$C$4:$C$103,B162),0))</f>
        <v/>
      </c>
      <c r="N162" s="11"/>
      <c r="O162" s="10"/>
      <c r="P162" s="10"/>
      <c r="Q162" s="27"/>
      <c r="R162" s="27"/>
      <c r="S162" s="8"/>
      <c r="T162" s="8">
        <f>IFERROR(INDEX('02_Схемы оплаты'!$C$4:$C$19,MATCH($C162&amp;"|"&amp;$G162,'02_Схемы оплаты'!$H$4:$H$19,0)),0)</f>
        <v>0</v>
      </c>
      <c r="U162" s="11"/>
      <c r="V162" s="28"/>
      <c r="W162" s="8"/>
      <c r="X162" s="8">
        <f>IFERROR(INDEX('02_Схемы оплаты'!$D$4:$D$19,MATCH($C162&amp;"|"&amp;$G162,'02_Схемы оплаты'!$H$4:$H$19,0)),0)</f>
        <v>0</v>
      </c>
      <c r="Y162" s="11"/>
      <c r="Z162" s="28"/>
      <c r="AA162" s="8"/>
      <c r="AB162" s="8">
        <f>IFERROR(INDEX('02_Схемы оплаты'!$E$4:$E$19,MATCH($C162&amp;"|"&amp;$G162,'02_Схемы оплаты'!$H$4:$H$19,0)),0)</f>
        <v>0</v>
      </c>
      <c r="AC162" s="11"/>
      <c r="AD162" s="28"/>
      <c r="AE162" s="8"/>
      <c r="AF162" s="10"/>
      <c r="AG162" s="10"/>
      <c r="AH162" s="25">
        <f>IFERROR(SUMIFS('04_Потребность'!$D$4:$D$103,'04_Потребность'!$A$4:$A$103,A162,'04_Потребность'!$C$4:$C$103,B162),0)</f>
        <v>0</v>
      </c>
      <c r="AI162" s="26" t="str">
        <f>IF(OR(A162="",B162=""),"",IFERROR(SUMIFS('04_Потребность'!$E$4:$E$103,'04_Потребность'!$A$4:$A$103,A162,'04_Потребность'!$C$4:$C$103,B162),0))</f>
        <v/>
      </c>
      <c r="AJ162" s="25" t="str">
        <f>IF(OR(A162="",B162=""),"",IFERROR(SUMIFS('04_Потребность'!$F$4:$F$103,'04_Потребность'!$A$4:$A$103,A162,'04_Потребность'!$C$4:$C$103,B162),0))</f>
        <v/>
      </c>
      <c r="AK162" s="29" t="str">
        <f>IF(OR(A162="",B162=""),"",IFERROR(SUMIFS('04_Потребность'!$G$4:$G$103,'04_Потребность'!$A$4:$A$103,A162,'04_Потребность'!$C$4:$C$103,B162),0))</f>
        <v/>
      </c>
      <c r="AL162" s="25" t="str">
        <f>IF('03_Настройки'!$B$7="Нет","Нет",IF(COUNTIFS('04_Потребность'!$A$4:$A$103,A162,'04_Потребность'!$C$4:$C$103,B162,'04_Потребность'!$H$4:$H$103,"Да")&gt;0,"Да","Нет"))</f>
        <v>Нет</v>
      </c>
      <c r="AM162" s="30">
        <f t="shared" si="80"/>
        <v>0</v>
      </c>
      <c r="AN162" s="30">
        <f t="shared" si="81"/>
        <v>0</v>
      </c>
      <c r="AO162" s="29">
        <f t="shared" si="82"/>
        <v>0</v>
      </c>
      <c r="AP162" s="29">
        <f t="shared" si="83"/>
        <v>0</v>
      </c>
      <c r="AQ162" s="29">
        <f t="shared" si="84"/>
        <v>0</v>
      </c>
      <c r="AR162" s="29">
        <f>IFERROR(E162*'03_Настройки'!$B$4/365*(IF(T162&gt;0,T162*V162*(1+W162)*MAX(0,N162-U162),0)+IF(X162&gt;0,X162*Z162*(1+AA162)*MAX(0,N162-Y162),0)+IF(AB162&gt;0,AB162*AD162*(1+AE162)*MAX(0,N162-AC162),0)),0)</f>
        <v>0</v>
      </c>
      <c r="AS162" s="29">
        <f t="shared" si="85"/>
        <v>0</v>
      </c>
      <c r="AT162" s="31">
        <f t="shared" si="86"/>
        <v>0</v>
      </c>
      <c r="AU162" s="31">
        <f t="shared" si="87"/>
        <v>0</v>
      </c>
      <c r="AV162" s="32">
        <f t="shared" si="88"/>
        <v>0</v>
      </c>
      <c r="AW162" s="29" t="e">
        <f t="shared" si="89"/>
        <v>#VALUE!</v>
      </c>
      <c r="AX162" s="29">
        <f t="shared" si="90"/>
        <v>0</v>
      </c>
      <c r="AY162" s="29" t="e">
        <f t="shared" si="91"/>
        <v>#VALUE!</v>
      </c>
      <c r="AZ162" s="25" t="str">
        <f>IF(AND(A162&lt;&gt;"",B162&lt;&gt;"",C162&lt;&gt;"",D162&gt;0,E162&gt;0,N162&lt;&gt;"",AH162&gt;0,O162="Да",P162="Да",BZ162="ПОЛНО",ABS(AN162-1)&lt;='03_Настройки'!$B$5,IF(T162&gt;0,AND(U162&lt;&gt;"",V162&gt;0),TRUE()),IF(X162&gt;0,AND(Y162&lt;&gt;"",Z162&gt;0),TRUE()),IF(AB162&gt;0,AND(AC162&lt;&gt;"",AD162&gt;0),TRUE()),OR(BM162="",BM162="Активна")),"Да","Нет")</f>
        <v>Нет</v>
      </c>
      <c r="BA162" s="25" t="str">
        <f t="shared" si="92"/>
        <v>Нет</v>
      </c>
      <c r="BB162" s="25" t="str">
        <f t="shared" si="93"/>
        <v/>
      </c>
      <c r="BC162" s="25" t="str">
        <f t="shared" si="94"/>
        <v/>
      </c>
      <c r="BD162" s="25" t="str">
        <f t="shared" si="95"/>
        <v/>
      </c>
      <c r="BE162" s="25" t="str">
        <f>IF(A162="","",IF(BZ162&lt;&gt;"ПОЛНО","BLOCK: неполная форма",IF(O162&lt;&gt;"Да","BLOCK: ввоз не разрешён",IF(P162&lt;&gt;"Да","BLOCK: документы не подтверждены",IF(ABS(AN162-1)&gt;'03_Настройки'!$B$5,"BLOCK: платежи не 100%",IF(AND(BM162&lt;&gt;"",BM162&lt;&gt;"Активна"),"BLOCK: позиция "&amp;BM162,IF(BA162&lt;&gt;"Да","PARTIAL: не покрывает потребность",IF(BB162="ДА","самый дешёвый"&amp;IF(BC162="ДА"," + быстрый","")&amp;IF(BD162="ДА"," + optimal",""),IF(BC162="ДА","самый быстрый"&amp;IF(BD162="ДА"," + optimal",""),IF(BD162="ДА","optimal","Допущен"))))))))))</f>
        <v/>
      </c>
      <c r="BF162" s="25">
        <f>ROW()</f>
        <v>162</v>
      </c>
      <c r="BG162" s="33"/>
      <c r="BH162" s="33"/>
      <c r="BI162" s="33"/>
      <c r="BJ162" s="33"/>
      <c r="BK162" s="33"/>
      <c r="BL162" s="34"/>
      <c r="BM162" s="33"/>
      <c r="BN162" s="35" t="str">
        <f t="shared" si="96"/>
        <v/>
      </c>
      <c r="BO162" s="36" t="str">
        <f t="shared" si="97"/>
        <v/>
      </c>
      <c r="BP162" s="33"/>
      <c r="BQ162" s="38"/>
      <c r="BR162" s="13"/>
      <c r="BS162" s="13"/>
      <c r="BT162" s="13"/>
      <c r="BU162" s="13"/>
      <c r="BV162" s="13"/>
      <c r="BW162" s="13"/>
      <c r="BX162" s="39" t="str">
        <f t="shared" si="98"/>
        <v/>
      </c>
      <c r="BY162" s="47"/>
      <c r="BZ162" s="48" t="str">
        <f t="shared" si="99"/>
        <v/>
      </c>
      <c r="CA162" s="47"/>
      <c r="CB162" s="47"/>
      <c r="CC162" s="47"/>
    </row>
    <row r="163" spans="1:81" ht="14.25" x14ac:dyDescent="0.45">
      <c r="A163" s="10"/>
      <c r="B163" s="10"/>
      <c r="C163" s="10"/>
      <c r="D163" s="10"/>
      <c r="E163" s="10"/>
      <c r="F163" s="10"/>
      <c r="G163" s="10"/>
      <c r="H163" s="25" t="str">
        <f>IFERROR(VLOOKUP(C163,'01_Поставщики'!$A$4:$M$11,2,FALSE()),"")</f>
        <v/>
      </c>
      <c r="I163" s="10"/>
      <c r="J163" s="25" t="str">
        <f>IFERROR(VLOOKUP(C163,'01_Поставщики'!$A$4:$M$11,8,FALSE()),"")</f>
        <v/>
      </c>
      <c r="K163" s="25" t="str">
        <f>IFERROR(VLOOKUP(C163,'01_Поставщики'!$A$4:$M$11,4,FALSE()),"")</f>
        <v/>
      </c>
      <c r="L163" s="25" t="str">
        <f>IFERROR(VLOOKUP(C163,'01_Поставщики'!$A$4:$M$11,10,FALSE()),"")</f>
        <v/>
      </c>
      <c r="M163" s="26" t="str">
        <f>IF(OR(A163="",B163=""),"",IFERROR(SUMIFS('04_Потребность'!$B$4:$B$103,'04_Потребность'!$A$4:$A$103,A163,'04_Потребность'!$C$4:$C$103,B163),0))</f>
        <v/>
      </c>
      <c r="N163" s="11"/>
      <c r="O163" s="10"/>
      <c r="P163" s="10"/>
      <c r="Q163" s="27"/>
      <c r="R163" s="27"/>
      <c r="S163" s="8"/>
      <c r="T163" s="8">
        <f>IFERROR(INDEX('02_Схемы оплаты'!$C$4:$C$19,MATCH($C163&amp;"|"&amp;$G163,'02_Схемы оплаты'!$H$4:$H$19,0)),0)</f>
        <v>0</v>
      </c>
      <c r="U163" s="11"/>
      <c r="V163" s="28"/>
      <c r="W163" s="8"/>
      <c r="X163" s="8">
        <f>IFERROR(INDEX('02_Схемы оплаты'!$D$4:$D$19,MATCH($C163&amp;"|"&amp;$G163,'02_Схемы оплаты'!$H$4:$H$19,0)),0)</f>
        <v>0</v>
      </c>
      <c r="Y163" s="11"/>
      <c r="Z163" s="28"/>
      <c r="AA163" s="8"/>
      <c r="AB163" s="8">
        <f>IFERROR(INDEX('02_Схемы оплаты'!$E$4:$E$19,MATCH($C163&amp;"|"&amp;$G163,'02_Схемы оплаты'!$H$4:$H$19,0)),0)</f>
        <v>0</v>
      </c>
      <c r="AC163" s="11"/>
      <c r="AD163" s="28"/>
      <c r="AE163" s="8"/>
      <c r="AF163" s="10"/>
      <c r="AG163" s="10"/>
      <c r="AH163" s="25">
        <f>IFERROR(SUMIFS('04_Потребность'!$D$4:$D$103,'04_Потребность'!$A$4:$A$103,A163,'04_Потребность'!$C$4:$C$103,B163),0)</f>
        <v>0</v>
      </c>
      <c r="AI163" s="26" t="str">
        <f>IF(OR(A163="",B163=""),"",IFERROR(SUMIFS('04_Потребность'!$E$4:$E$103,'04_Потребность'!$A$4:$A$103,A163,'04_Потребность'!$C$4:$C$103,B163),0))</f>
        <v/>
      </c>
      <c r="AJ163" s="25" t="str">
        <f>IF(OR(A163="",B163=""),"",IFERROR(SUMIFS('04_Потребность'!$F$4:$F$103,'04_Потребность'!$A$4:$A$103,A163,'04_Потребность'!$C$4:$C$103,B163),0))</f>
        <v/>
      </c>
      <c r="AK163" s="29" t="str">
        <f>IF(OR(A163="",B163=""),"",IFERROR(SUMIFS('04_Потребность'!$G$4:$G$103,'04_Потребность'!$A$4:$A$103,A163,'04_Потребность'!$C$4:$C$103,B163),0))</f>
        <v/>
      </c>
      <c r="AL163" s="25" t="str">
        <f>IF('03_Настройки'!$B$7="Нет","Нет",IF(COUNTIFS('04_Потребность'!$A$4:$A$103,A163,'04_Потребность'!$C$4:$C$103,B163,'04_Потребность'!$H$4:$H$103,"Да")&gt;0,"Да","Нет"))</f>
        <v>Нет</v>
      </c>
      <c r="AM163" s="30">
        <f t="shared" si="80"/>
        <v>0</v>
      </c>
      <c r="AN163" s="30">
        <f t="shared" si="81"/>
        <v>0</v>
      </c>
      <c r="AO163" s="29">
        <f t="shared" si="82"/>
        <v>0</v>
      </c>
      <c r="AP163" s="29">
        <f t="shared" si="83"/>
        <v>0</v>
      </c>
      <c r="AQ163" s="29">
        <f t="shared" si="84"/>
        <v>0</v>
      </c>
      <c r="AR163" s="29">
        <f>IFERROR(E163*'03_Настройки'!$B$4/365*(IF(T163&gt;0,T163*V163*(1+W163)*MAX(0,N163-U163),0)+IF(X163&gt;0,X163*Z163*(1+AA163)*MAX(0,N163-Y163),0)+IF(AB163&gt;0,AB163*AD163*(1+AE163)*MAX(0,N163-AC163),0)),0)</f>
        <v>0</v>
      </c>
      <c r="AS163" s="29">
        <f t="shared" si="85"/>
        <v>0</v>
      </c>
      <c r="AT163" s="31">
        <f t="shared" si="86"/>
        <v>0</v>
      </c>
      <c r="AU163" s="31">
        <f t="shared" si="87"/>
        <v>0</v>
      </c>
      <c r="AV163" s="32">
        <f t="shared" si="88"/>
        <v>0</v>
      </c>
      <c r="AW163" s="29" t="e">
        <f t="shared" si="89"/>
        <v>#VALUE!</v>
      </c>
      <c r="AX163" s="29">
        <f t="shared" si="90"/>
        <v>0</v>
      </c>
      <c r="AY163" s="29" t="e">
        <f t="shared" si="91"/>
        <v>#VALUE!</v>
      </c>
      <c r="AZ163" s="25" t="str">
        <f>IF(AND(A163&lt;&gt;"",B163&lt;&gt;"",C163&lt;&gt;"",D163&gt;0,E163&gt;0,N163&lt;&gt;"",AH163&gt;0,O163="Да",P163="Да",BZ163="ПОЛНО",ABS(AN163-1)&lt;='03_Настройки'!$B$5,IF(T163&gt;0,AND(U163&lt;&gt;"",V163&gt;0),TRUE()),IF(X163&gt;0,AND(Y163&lt;&gt;"",Z163&gt;0),TRUE()),IF(AB163&gt;0,AND(AC163&lt;&gt;"",AD163&gt;0),TRUE()),OR(BM163="",BM163="Активна")),"Да","Нет")</f>
        <v>Нет</v>
      </c>
      <c r="BA163" s="25" t="str">
        <f t="shared" si="92"/>
        <v>Нет</v>
      </c>
      <c r="BB163" s="25" t="str">
        <f t="shared" si="93"/>
        <v/>
      </c>
      <c r="BC163" s="25" t="str">
        <f t="shared" si="94"/>
        <v/>
      </c>
      <c r="BD163" s="25" t="str">
        <f t="shared" si="95"/>
        <v/>
      </c>
      <c r="BE163" s="25" t="str">
        <f>IF(A163="","",IF(BZ163&lt;&gt;"ПОЛНО","BLOCK: неполная форма",IF(O163&lt;&gt;"Да","BLOCK: ввоз не разрешён",IF(P163&lt;&gt;"Да","BLOCK: документы не подтверждены",IF(ABS(AN163-1)&gt;'03_Настройки'!$B$5,"BLOCK: платежи не 100%",IF(AND(BM163&lt;&gt;"",BM163&lt;&gt;"Активна"),"BLOCK: позиция "&amp;BM163,IF(BA163&lt;&gt;"Да","PARTIAL: не покрывает потребность",IF(BB163="ДА","самый дешёвый"&amp;IF(BC163="ДА"," + быстрый","")&amp;IF(BD163="ДА"," + optimal",""),IF(BC163="ДА","самый быстрый"&amp;IF(BD163="ДА"," + optimal",""),IF(BD163="ДА","optimal","Допущен"))))))))))</f>
        <v/>
      </c>
      <c r="BF163" s="25">
        <f>ROW()</f>
        <v>163</v>
      </c>
      <c r="BG163" s="33"/>
      <c r="BH163" s="33"/>
      <c r="BI163" s="33"/>
      <c r="BJ163" s="33"/>
      <c r="BK163" s="33"/>
      <c r="BL163" s="34"/>
      <c r="BM163" s="33"/>
      <c r="BN163" s="35" t="str">
        <f t="shared" si="96"/>
        <v/>
      </c>
      <c r="BO163" s="36" t="str">
        <f t="shared" si="97"/>
        <v/>
      </c>
      <c r="BP163" s="33"/>
      <c r="BQ163" s="38"/>
      <c r="BR163" s="13"/>
      <c r="BS163" s="13"/>
      <c r="BT163" s="13"/>
      <c r="BU163" s="13"/>
      <c r="BV163" s="13"/>
      <c r="BW163" s="13"/>
      <c r="BX163" s="39" t="str">
        <f t="shared" si="98"/>
        <v/>
      </c>
      <c r="BY163" s="47"/>
      <c r="BZ163" s="48" t="str">
        <f t="shared" si="99"/>
        <v/>
      </c>
      <c r="CA163" s="47"/>
      <c r="CB163" s="47"/>
      <c r="CC163" s="47"/>
    </row>
    <row r="164" spans="1:81" ht="14.25" x14ac:dyDescent="0.45">
      <c r="A164" s="10"/>
      <c r="B164" s="10"/>
      <c r="C164" s="10"/>
      <c r="D164" s="10"/>
      <c r="E164" s="10"/>
      <c r="F164" s="10"/>
      <c r="G164" s="10"/>
      <c r="H164" s="25" t="str">
        <f>IFERROR(VLOOKUP(C164,'01_Поставщики'!$A$4:$M$11,2,FALSE()),"")</f>
        <v/>
      </c>
      <c r="I164" s="10"/>
      <c r="J164" s="25" t="str">
        <f>IFERROR(VLOOKUP(C164,'01_Поставщики'!$A$4:$M$11,8,FALSE()),"")</f>
        <v/>
      </c>
      <c r="K164" s="25" t="str">
        <f>IFERROR(VLOOKUP(C164,'01_Поставщики'!$A$4:$M$11,4,FALSE()),"")</f>
        <v/>
      </c>
      <c r="L164" s="25" t="str">
        <f>IFERROR(VLOOKUP(C164,'01_Поставщики'!$A$4:$M$11,10,FALSE()),"")</f>
        <v/>
      </c>
      <c r="M164" s="26" t="str">
        <f>IF(OR(A164="",B164=""),"",IFERROR(SUMIFS('04_Потребность'!$B$4:$B$103,'04_Потребность'!$A$4:$A$103,A164,'04_Потребность'!$C$4:$C$103,B164),0))</f>
        <v/>
      </c>
      <c r="N164" s="11"/>
      <c r="O164" s="10"/>
      <c r="P164" s="10"/>
      <c r="Q164" s="27"/>
      <c r="R164" s="27"/>
      <c r="S164" s="8"/>
      <c r="T164" s="8">
        <f>IFERROR(INDEX('02_Схемы оплаты'!$C$4:$C$19,MATCH($C164&amp;"|"&amp;$G164,'02_Схемы оплаты'!$H$4:$H$19,0)),0)</f>
        <v>0</v>
      </c>
      <c r="U164" s="11"/>
      <c r="V164" s="28"/>
      <c r="W164" s="8"/>
      <c r="X164" s="8">
        <f>IFERROR(INDEX('02_Схемы оплаты'!$D$4:$D$19,MATCH($C164&amp;"|"&amp;$G164,'02_Схемы оплаты'!$H$4:$H$19,0)),0)</f>
        <v>0</v>
      </c>
      <c r="Y164" s="11"/>
      <c r="Z164" s="28"/>
      <c r="AA164" s="8"/>
      <c r="AB164" s="8">
        <f>IFERROR(INDEX('02_Схемы оплаты'!$E$4:$E$19,MATCH($C164&amp;"|"&amp;$G164,'02_Схемы оплаты'!$H$4:$H$19,0)),0)</f>
        <v>0</v>
      </c>
      <c r="AC164" s="11"/>
      <c r="AD164" s="28"/>
      <c r="AE164" s="8"/>
      <c r="AF164" s="10"/>
      <c r="AG164" s="10"/>
      <c r="AH164" s="25">
        <f>IFERROR(SUMIFS('04_Потребность'!$D$4:$D$103,'04_Потребность'!$A$4:$A$103,A164,'04_Потребность'!$C$4:$C$103,B164),0)</f>
        <v>0</v>
      </c>
      <c r="AI164" s="26" t="str">
        <f>IF(OR(A164="",B164=""),"",IFERROR(SUMIFS('04_Потребность'!$E$4:$E$103,'04_Потребность'!$A$4:$A$103,A164,'04_Потребность'!$C$4:$C$103,B164),0))</f>
        <v/>
      </c>
      <c r="AJ164" s="25" t="str">
        <f>IF(OR(A164="",B164=""),"",IFERROR(SUMIFS('04_Потребность'!$F$4:$F$103,'04_Потребность'!$A$4:$A$103,A164,'04_Потребность'!$C$4:$C$103,B164),0))</f>
        <v/>
      </c>
      <c r="AK164" s="29" t="str">
        <f>IF(OR(A164="",B164=""),"",IFERROR(SUMIFS('04_Потребность'!$G$4:$G$103,'04_Потребность'!$A$4:$A$103,A164,'04_Потребность'!$C$4:$C$103,B164),0))</f>
        <v/>
      </c>
      <c r="AL164" s="25" t="str">
        <f>IF('03_Настройки'!$B$7="Нет","Нет",IF(COUNTIFS('04_Потребность'!$A$4:$A$103,A164,'04_Потребность'!$C$4:$C$103,B164,'04_Потребность'!$H$4:$H$103,"Да")&gt;0,"Да","Нет"))</f>
        <v>Нет</v>
      </c>
      <c r="AM164" s="30">
        <f t="shared" ref="AM164:AM195" si="100">IFERROR(MIN(1,D164/AH164),0)</f>
        <v>0</v>
      </c>
      <c r="AN164" s="30">
        <f t="shared" ref="AN164:AN195" si="101">SUM(T164,X164,AB164)</f>
        <v>0</v>
      </c>
      <c r="AO164" s="29">
        <f t="shared" ref="AO164:AO195" si="102">IFERROR(E164*(T164*V164*(1+W164)+X164*Z164*(1+AA164)+AB164*AD164*(1+AE164)),0)</f>
        <v>0</v>
      </c>
      <c r="AP164" s="29">
        <f t="shared" ref="AP164:AP195" si="103">AO164*S164</f>
        <v>0</v>
      </c>
      <c r="AQ164" s="29">
        <f t="shared" ref="AQ164:AQ195" si="104">AO164+AP164+Q164+R164</f>
        <v>0</v>
      </c>
      <c r="AR164" s="29">
        <f>IFERROR(E164*'03_Настройки'!$B$4/365*(IF(T164&gt;0,T164*V164*(1+W164)*MAX(0,N164-U164),0)+IF(X164&gt;0,X164*Z164*(1+AA164)*MAX(0,N164-Y164),0)+IF(AB164&gt;0,AB164*AD164*(1+AE164)*MAX(0,N164-AC164),0)),0)</f>
        <v>0</v>
      </c>
      <c r="AS164" s="29">
        <f t="shared" ref="AS164:AS195" si="105">AQ164+AR164</f>
        <v>0</v>
      </c>
      <c r="AT164" s="31">
        <f t="shared" ref="AT164:AT195" si="106">IFERROR(MAX(0,N164-M164),0)</f>
        <v>0</v>
      </c>
      <c r="AU164" s="31">
        <f t="shared" ref="AU164:AU195" si="107">IFERROR(MAX(0,N164-AI164),0)</f>
        <v>0</v>
      </c>
      <c r="AV164" s="32">
        <f t="shared" ref="AV164:AV195" si="108">IF(AL164="Да",MIN(AH164,AJ164*AU164),0)</f>
        <v>0</v>
      </c>
      <c r="AW164" s="29" t="e">
        <f t="shared" ref="AW164:AW195" si="109">AV164*AK164</f>
        <v>#VALUE!</v>
      </c>
      <c r="AX164" s="29">
        <f t="shared" ref="AX164:AX195" si="110">AS164*AH164</f>
        <v>0</v>
      </c>
      <c r="AY164" s="29" t="e">
        <f t="shared" ref="AY164:AY195" si="111">AX164+AW164</f>
        <v>#VALUE!</v>
      </c>
      <c r="AZ164" s="25" t="str">
        <f>IF(AND(A164&lt;&gt;"",B164&lt;&gt;"",C164&lt;&gt;"",D164&gt;0,E164&gt;0,N164&lt;&gt;"",AH164&gt;0,O164="Да",P164="Да",BZ164="ПОЛНО",ABS(AN164-1)&lt;='03_Настройки'!$B$5,IF(T164&gt;0,AND(U164&lt;&gt;"",V164&gt;0),TRUE()),IF(X164&gt;0,AND(Y164&lt;&gt;"",Z164&gt;0),TRUE()),IF(AB164&gt;0,AND(AC164&lt;&gt;"",AD164&gt;0),TRUE()),OR(BM164="",BM164="Активна")),"Да","Нет")</f>
        <v>Нет</v>
      </c>
      <c r="BA164" s="25" t="str">
        <f t="shared" ref="BA164:BA195" si="112">IF(AM164&gt;=1,"Да","Нет")</f>
        <v>Нет</v>
      </c>
      <c r="BB164" s="25" t="str">
        <f t="shared" ref="BB164:BB195" si="113">IF(AND(AZ164="Да",BA164="Да",COUNTIFS($A$4:$A$203,A164,$B$4:$B$203,B164,$AZ$4:$AZ$203,"Да",$BA$4:$BA$203,"Да",$AX$4:$AX$203,"&lt;"&amp;AX164)=0,COUNTIFS($A$4:$A$203,A164,$B$4:$B$203,B164,$AZ$4:$AZ$203,"Да",$BA$4:$BA$203,"Да",$AX$4:$AX$203,"="&amp;AX164,$BF$4:$BF$203,"&lt;"&amp;BF164)=0),"ДА","")</f>
        <v/>
      </c>
      <c r="BC164" s="25" t="str">
        <f t="shared" ref="BC164:BC195" si="114">IF(AND(AZ164="Да",BA164="Да",COUNTIFS($A$4:$A$203,A164,$B$4:$B$203,B164,$AZ$4:$AZ$203,"Да",$BA$4:$BA$203,"Да",$N$4:$N$203,"&lt;"&amp;N164)=0,COUNTIFS($A$4:$A$203,A164,$B$4:$B$203,B164,$AZ$4:$AZ$203,"Да",$BA$4:$BA$203,"Да",$N$4:$N$203,"="&amp;N164,$BF$4:$BF$203,"&lt;"&amp;BF164)=0),"ДА","")</f>
        <v/>
      </c>
      <c r="BD164" s="25" t="str">
        <f t="shared" ref="BD164:BD195" si="115">IF(AND(AZ164="Да",BA164="Да",COUNTIFS($A$4:$A$203,A164,$B$4:$B$203,B164,$AZ$4:$AZ$203,"Да",$BA$4:$BA$203,"Да",$AY$4:$AY$203,"&lt;"&amp;AY164)=0,COUNTIFS($A$4:$A$203,A164,$B$4:$B$203,B164,$AZ$4:$AZ$203,"Да",$BA$4:$BA$203,"Да",$AY$4:$AY$203,"="&amp;AY164,$BF$4:$BF$203,"&lt;"&amp;BF164)=0),"ДА","")</f>
        <v/>
      </c>
      <c r="BE164" s="25" t="str">
        <f>IF(A164="","",IF(BZ164&lt;&gt;"ПОЛНО","BLOCK: неполная форма",IF(O164&lt;&gt;"Да","BLOCK: ввоз не разрешён",IF(P164&lt;&gt;"Да","BLOCK: документы не подтверждены",IF(ABS(AN164-1)&gt;'03_Настройки'!$B$5,"BLOCK: платежи не 100%",IF(AND(BM164&lt;&gt;"",BM164&lt;&gt;"Активна"),"BLOCK: позиция "&amp;BM164,IF(BA164&lt;&gt;"Да","PARTIAL: не покрывает потребность",IF(BB164="ДА","самый дешёвый"&amp;IF(BC164="ДА"," + быстрый","")&amp;IF(BD164="ДА"," + optimal",""),IF(BC164="ДА","самый быстрый"&amp;IF(BD164="ДА"," + optimal",""),IF(BD164="ДА","optimal","Допущен"))))))))))</f>
        <v/>
      </c>
      <c r="BF164" s="25">
        <f>ROW()</f>
        <v>164</v>
      </c>
      <c r="BG164" s="33"/>
      <c r="BH164" s="33"/>
      <c r="BI164" s="33"/>
      <c r="BJ164" s="33"/>
      <c r="BK164" s="33"/>
      <c r="BL164" s="34"/>
      <c r="BM164" s="33"/>
      <c r="BN164" s="35" t="str">
        <f t="shared" ref="BN164:BN195" si="116">IF(BG164+BH164=0,"",IF(BG164+BH164&lt;&gt;D164,"⚠ SIM+eSIM≠Доступно","OK"))</f>
        <v/>
      </c>
      <c r="BO164" s="36" t="str">
        <f t="shared" ref="BO164:BO195" si="117">IF($C164="","",IF(TRIM(IF(O164&lt;&gt;"Да","⚠Ввоз ","")&amp;IF(P164&lt;&gt;"Да","⚠Документы ","")&amp;IF(AND(BG164+BH164&gt;0,D164&gt;0,BG164+BH164&lt;&gt;D164),"⚠SIM/eSIM ","")&amp;IF(BZ164&lt;&gt;"ПОЛНО","⚠НеполнаяФорма ",""))="","OK",TRIM(IF(O164&lt;&gt;"Да","⚠Ввоз ","")&amp;IF(P164&lt;&gt;"Да","⚠Документы ","")&amp;IF(AND(BG164+BH164&gt;0,D164&gt;0,BG164+BH164&lt;&gt;D164),"⚠SIM/eSIM ","")&amp;IF(BZ164&lt;&gt;"ПОЛНО","⚠НеполнаяФорма ",""))))</f>
        <v/>
      </c>
      <c r="BP164" s="33"/>
      <c r="BQ164" s="38"/>
      <c r="BR164" s="13"/>
      <c r="BS164" s="13"/>
      <c r="BT164" s="13"/>
      <c r="BU164" s="13"/>
      <c r="BV164" s="13"/>
      <c r="BW164" s="13"/>
      <c r="BX164" s="39" t="str">
        <f t="shared" ref="BX164:BX195" si="118">IF(OR(BV164&lt;&gt;"",BW164&lt;&gt;""),"Да","")</f>
        <v/>
      </c>
      <c r="BY164" s="47"/>
      <c r="BZ164" s="48" t="str">
        <f t="shared" ref="BZ164:BZ195" si="119">IF(A164="","",IF(AND(BT164&lt;&gt;"",BJ164&lt;&gt;"",CA164&lt;&gt;"",BK164&lt;&gt;"",OR(BG164&lt;&gt;"",BH164&lt;&gt;""),BM164&lt;&gt;""),"ПОЛНО","НЕПОЛНО"))</f>
        <v/>
      </c>
      <c r="CA164" s="47"/>
      <c r="CB164" s="47"/>
      <c r="CC164" s="47"/>
    </row>
    <row r="165" spans="1:81" ht="14.25" x14ac:dyDescent="0.45">
      <c r="A165" s="10"/>
      <c r="B165" s="10"/>
      <c r="C165" s="10"/>
      <c r="D165" s="10"/>
      <c r="E165" s="10"/>
      <c r="F165" s="10"/>
      <c r="G165" s="10"/>
      <c r="H165" s="25" t="str">
        <f>IFERROR(VLOOKUP(C165,'01_Поставщики'!$A$4:$M$11,2,FALSE()),"")</f>
        <v/>
      </c>
      <c r="I165" s="10"/>
      <c r="J165" s="25" t="str">
        <f>IFERROR(VLOOKUP(C165,'01_Поставщики'!$A$4:$M$11,8,FALSE()),"")</f>
        <v/>
      </c>
      <c r="K165" s="25" t="str">
        <f>IFERROR(VLOOKUP(C165,'01_Поставщики'!$A$4:$M$11,4,FALSE()),"")</f>
        <v/>
      </c>
      <c r="L165" s="25" t="str">
        <f>IFERROR(VLOOKUP(C165,'01_Поставщики'!$A$4:$M$11,10,FALSE()),"")</f>
        <v/>
      </c>
      <c r="M165" s="26" t="str">
        <f>IF(OR(A165="",B165=""),"",IFERROR(SUMIFS('04_Потребность'!$B$4:$B$103,'04_Потребность'!$A$4:$A$103,A165,'04_Потребность'!$C$4:$C$103,B165),0))</f>
        <v/>
      </c>
      <c r="N165" s="11"/>
      <c r="O165" s="10"/>
      <c r="P165" s="10"/>
      <c r="Q165" s="27"/>
      <c r="R165" s="27"/>
      <c r="S165" s="8"/>
      <c r="T165" s="8">
        <f>IFERROR(INDEX('02_Схемы оплаты'!$C$4:$C$19,MATCH($C165&amp;"|"&amp;$G165,'02_Схемы оплаты'!$H$4:$H$19,0)),0)</f>
        <v>0</v>
      </c>
      <c r="U165" s="11"/>
      <c r="V165" s="28"/>
      <c r="W165" s="8"/>
      <c r="X165" s="8">
        <f>IFERROR(INDEX('02_Схемы оплаты'!$D$4:$D$19,MATCH($C165&amp;"|"&amp;$G165,'02_Схемы оплаты'!$H$4:$H$19,0)),0)</f>
        <v>0</v>
      </c>
      <c r="Y165" s="11"/>
      <c r="Z165" s="28"/>
      <c r="AA165" s="8"/>
      <c r="AB165" s="8">
        <f>IFERROR(INDEX('02_Схемы оплаты'!$E$4:$E$19,MATCH($C165&amp;"|"&amp;$G165,'02_Схемы оплаты'!$H$4:$H$19,0)),0)</f>
        <v>0</v>
      </c>
      <c r="AC165" s="11"/>
      <c r="AD165" s="28"/>
      <c r="AE165" s="8"/>
      <c r="AF165" s="10"/>
      <c r="AG165" s="10"/>
      <c r="AH165" s="25">
        <f>IFERROR(SUMIFS('04_Потребность'!$D$4:$D$103,'04_Потребность'!$A$4:$A$103,A165,'04_Потребность'!$C$4:$C$103,B165),0)</f>
        <v>0</v>
      </c>
      <c r="AI165" s="26" t="str">
        <f>IF(OR(A165="",B165=""),"",IFERROR(SUMIFS('04_Потребность'!$E$4:$E$103,'04_Потребность'!$A$4:$A$103,A165,'04_Потребность'!$C$4:$C$103,B165),0))</f>
        <v/>
      </c>
      <c r="AJ165" s="25" t="str">
        <f>IF(OR(A165="",B165=""),"",IFERROR(SUMIFS('04_Потребность'!$F$4:$F$103,'04_Потребность'!$A$4:$A$103,A165,'04_Потребность'!$C$4:$C$103,B165),0))</f>
        <v/>
      </c>
      <c r="AK165" s="29" t="str">
        <f>IF(OR(A165="",B165=""),"",IFERROR(SUMIFS('04_Потребность'!$G$4:$G$103,'04_Потребность'!$A$4:$A$103,A165,'04_Потребность'!$C$4:$C$103,B165),0))</f>
        <v/>
      </c>
      <c r="AL165" s="25" t="str">
        <f>IF('03_Настройки'!$B$7="Нет","Нет",IF(COUNTIFS('04_Потребность'!$A$4:$A$103,A165,'04_Потребность'!$C$4:$C$103,B165,'04_Потребность'!$H$4:$H$103,"Да")&gt;0,"Да","Нет"))</f>
        <v>Нет</v>
      </c>
      <c r="AM165" s="30">
        <f t="shared" si="100"/>
        <v>0</v>
      </c>
      <c r="AN165" s="30">
        <f t="shared" si="101"/>
        <v>0</v>
      </c>
      <c r="AO165" s="29">
        <f t="shared" si="102"/>
        <v>0</v>
      </c>
      <c r="AP165" s="29">
        <f t="shared" si="103"/>
        <v>0</v>
      </c>
      <c r="AQ165" s="29">
        <f t="shared" si="104"/>
        <v>0</v>
      </c>
      <c r="AR165" s="29">
        <f>IFERROR(E165*'03_Настройки'!$B$4/365*(IF(T165&gt;0,T165*V165*(1+W165)*MAX(0,N165-U165),0)+IF(X165&gt;0,X165*Z165*(1+AA165)*MAX(0,N165-Y165),0)+IF(AB165&gt;0,AB165*AD165*(1+AE165)*MAX(0,N165-AC165),0)),0)</f>
        <v>0</v>
      </c>
      <c r="AS165" s="29">
        <f t="shared" si="105"/>
        <v>0</v>
      </c>
      <c r="AT165" s="31">
        <f t="shared" si="106"/>
        <v>0</v>
      </c>
      <c r="AU165" s="31">
        <f t="shared" si="107"/>
        <v>0</v>
      </c>
      <c r="AV165" s="32">
        <f t="shared" si="108"/>
        <v>0</v>
      </c>
      <c r="AW165" s="29" t="e">
        <f t="shared" si="109"/>
        <v>#VALUE!</v>
      </c>
      <c r="AX165" s="29">
        <f t="shared" si="110"/>
        <v>0</v>
      </c>
      <c r="AY165" s="29" t="e">
        <f t="shared" si="111"/>
        <v>#VALUE!</v>
      </c>
      <c r="AZ165" s="25" t="str">
        <f>IF(AND(A165&lt;&gt;"",B165&lt;&gt;"",C165&lt;&gt;"",D165&gt;0,E165&gt;0,N165&lt;&gt;"",AH165&gt;0,O165="Да",P165="Да",BZ165="ПОЛНО",ABS(AN165-1)&lt;='03_Настройки'!$B$5,IF(T165&gt;0,AND(U165&lt;&gt;"",V165&gt;0),TRUE()),IF(X165&gt;0,AND(Y165&lt;&gt;"",Z165&gt;0),TRUE()),IF(AB165&gt;0,AND(AC165&lt;&gt;"",AD165&gt;0),TRUE()),OR(BM165="",BM165="Активна")),"Да","Нет")</f>
        <v>Нет</v>
      </c>
      <c r="BA165" s="25" t="str">
        <f t="shared" si="112"/>
        <v>Нет</v>
      </c>
      <c r="BB165" s="25" t="str">
        <f t="shared" si="113"/>
        <v/>
      </c>
      <c r="BC165" s="25" t="str">
        <f t="shared" si="114"/>
        <v/>
      </c>
      <c r="BD165" s="25" t="str">
        <f t="shared" si="115"/>
        <v/>
      </c>
      <c r="BE165" s="25" t="str">
        <f>IF(A165="","",IF(BZ165&lt;&gt;"ПОЛНО","BLOCK: неполная форма",IF(O165&lt;&gt;"Да","BLOCK: ввоз не разрешён",IF(P165&lt;&gt;"Да","BLOCK: документы не подтверждены",IF(ABS(AN165-1)&gt;'03_Настройки'!$B$5,"BLOCK: платежи не 100%",IF(AND(BM165&lt;&gt;"",BM165&lt;&gt;"Активна"),"BLOCK: позиция "&amp;BM165,IF(BA165&lt;&gt;"Да","PARTIAL: не покрывает потребность",IF(BB165="ДА","самый дешёвый"&amp;IF(BC165="ДА"," + быстрый","")&amp;IF(BD165="ДА"," + optimal",""),IF(BC165="ДА","самый быстрый"&amp;IF(BD165="ДА"," + optimal",""),IF(BD165="ДА","optimal","Допущен"))))))))))</f>
        <v/>
      </c>
      <c r="BF165" s="25">
        <f>ROW()</f>
        <v>165</v>
      </c>
      <c r="BG165" s="33"/>
      <c r="BH165" s="33"/>
      <c r="BI165" s="33"/>
      <c r="BJ165" s="33"/>
      <c r="BK165" s="33"/>
      <c r="BL165" s="34"/>
      <c r="BM165" s="33"/>
      <c r="BN165" s="35" t="str">
        <f t="shared" si="116"/>
        <v/>
      </c>
      <c r="BO165" s="36" t="str">
        <f t="shared" si="117"/>
        <v/>
      </c>
      <c r="BP165" s="33"/>
      <c r="BQ165" s="38"/>
      <c r="BR165" s="13"/>
      <c r="BS165" s="13"/>
      <c r="BT165" s="13"/>
      <c r="BU165" s="13"/>
      <c r="BV165" s="13"/>
      <c r="BW165" s="13"/>
      <c r="BX165" s="39" t="str">
        <f t="shared" si="118"/>
        <v/>
      </c>
      <c r="BY165" s="47"/>
      <c r="BZ165" s="48" t="str">
        <f t="shared" si="119"/>
        <v/>
      </c>
      <c r="CA165" s="47"/>
      <c r="CB165" s="47"/>
      <c r="CC165" s="47"/>
    </row>
    <row r="166" spans="1:81" ht="14.25" x14ac:dyDescent="0.45">
      <c r="A166" s="10"/>
      <c r="B166" s="10"/>
      <c r="C166" s="10"/>
      <c r="D166" s="10"/>
      <c r="E166" s="10"/>
      <c r="F166" s="10"/>
      <c r="G166" s="10"/>
      <c r="H166" s="25" t="str">
        <f>IFERROR(VLOOKUP(C166,'01_Поставщики'!$A$4:$M$11,2,FALSE()),"")</f>
        <v/>
      </c>
      <c r="I166" s="10"/>
      <c r="J166" s="25" t="str">
        <f>IFERROR(VLOOKUP(C166,'01_Поставщики'!$A$4:$M$11,8,FALSE()),"")</f>
        <v/>
      </c>
      <c r="K166" s="25" t="str">
        <f>IFERROR(VLOOKUP(C166,'01_Поставщики'!$A$4:$M$11,4,FALSE()),"")</f>
        <v/>
      </c>
      <c r="L166" s="25" t="str">
        <f>IFERROR(VLOOKUP(C166,'01_Поставщики'!$A$4:$M$11,10,FALSE()),"")</f>
        <v/>
      </c>
      <c r="M166" s="26" t="str">
        <f>IF(OR(A166="",B166=""),"",IFERROR(SUMIFS('04_Потребность'!$B$4:$B$103,'04_Потребность'!$A$4:$A$103,A166,'04_Потребность'!$C$4:$C$103,B166),0))</f>
        <v/>
      </c>
      <c r="N166" s="11"/>
      <c r="O166" s="10"/>
      <c r="P166" s="10"/>
      <c r="Q166" s="27"/>
      <c r="R166" s="27"/>
      <c r="S166" s="8"/>
      <c r="T166" s="8">
        <f>IFERROR(INDEX('02_Схемы оплаты'!$C$4:$C$19,MATCH($C166&amp;"|"&amp;$G166,'02_Схемы оплаты'!$H$4:$H$19,0)),0)</f>
        <v>0</v>
      </c>
      <c r="U166" s="11"/>
      <c r="V166" s="28"/>
      <c r="W166" s="8"/>
      <c r="X166" s="8">
        <f>IFERROR(INDEX('02_Схемы оплаты'!$D$4:$D$19,MATCH($C166&amp;"|"&amp;$G166,'02_Схемы оплаты'!$H$4:$H$19,0)),0)</f>
        <v>0</v>
      </c>
      <c r="Y166" s="11"/>
      <c r="Z166" s="28"/>
      <c r="AA166" s="8"/>
      <c r="AB166" s="8">
        <f>IFERROR(INDEX('02_Схемы оплаты'!$E$4:$E$19,MATCH($C166&amp;"|"&amp;$G166,'02_Схемы оплаты'!$H$4:$H$19,0)),0)</f>
        <v>0</v>
      </c>
      <c r="AC166" s="11"/>
      <c r="AD166" s="28"/>
      <c r="AE166" s="8"/>
      <c r="AF166" s="10"/>
      <c r="AG166" s="10"/>
      <c r="AH166" s="25">
        <f>IFERROR(SUMIFS('04_Потребность'!$D$4:$D$103,'04_Потребность'!$A$4:$A$103,A166,'04_Потребность'!$C$4:$C$103,B166),0)</f>
        <v>0</v>
      </c>
      <c r="AI166" s="26" t="str">
        <f>IF(OR(A166="",B166=""),"",IFERROR(SUMIFS('04_Потребность'!$E$4:$E$103,'04_Потребность'!$A$4:$A$103,A166,'04_Потребность'!$C$4:$C$103,B166),0))</f>
        <v/>
      </c>
      <c r="AJ166" s="25" t="str">
        <f>IF(OR(A166="",B166=""),"",IFERROR(SUMIFS('04_Потребность'!$F$4:$F$103,'04_Потребность'!$A$4:$A$103,A166,'04_Потребность'!$C$4:$C$103,B166),0))</f>
        <v/>
      </c>
      <c r="AK166" s="29" t="str">
        <f>IF(OR(A166="",B166=""),"",IFERROR(SUMIFS('04_Потребность'!$G$4:$G$103,'04_Потребность'!$A$4:$A$103,A166,'04_Потребность'!$C$4:$C$103,B166),0))</f>
        <v/>
      </c>
      <c r="AL166" s="25" t="str">
        <f>IF('03_Настройки'!$B$7="Нет","Нет",IF(COUNTIFS('04_Потребность'!$A$4:$A$103,A166,'04_Потребность'!$C$4:$C$103,B166,'04_Потребность'!$H$4:$H$103,"Да")&gt;0,"Да","Нет"))</f>
        <v>Нет</v>
      </c>
      <c r="AM166" s="30">
        <f t="shared" si="100"/>
        <v>0</v>
      </c>
      <c r="AN166" s="30">
        <f t="shared" si="101"/>
        <v>0</v>
      </c>
      <c r="AO166" s="29">
        <f t="shared" si="102"/>
        <v>0</v>
      </c>
      <c r="AP166" s="29">
        <f t="shared" si="103"/>
        <v>0</v>
      </c>
      <c r="AQ166" s="29">
        <f t="shared" si="104"/>
        <v>0</v>
      </c>
      <c r="AR166" s="29">
        <f>IFERROR(E166*'03_Настройки'!$B$4/365*(IF(T166&gt;0,T166*V166*(1+W166)*MAX(0,N166-U166),0)+IF(X166&gt;0,X166*Z166*(1+AA166)*MAX(0,N166-Y166),0)+IF(AB166&gt;0,AB166*AD166*(1+AE166)*MAX(0,N166-AC166),0)),0)</f>
        <v>0</v>
      </c>
      <c r="AS166" s="29">
        <f t="shared" si="105"/>
        <v>0</v>
      </c>
      <c r="AT166" s="31">
        <f t="shared" si="106"/>
        <v>0</v>
      </c>
      <c r="AU166" s="31">
        <f t="shared" si="107"/>
        <v>0</v>
      </c>
      <c r="AV166" s="32">
        <f t="shared" si="108"/>
        <v>0</v>
      </c>
      <c r="AW166" s="29" t="e">
        <f t="shared" si="109"/>
        <v>#VALUE!</v>
      </c>
      <c r="AX166" s="29">
        <f t="shared" si="110"/>
        <v>0</v>
      </c>
      <c r="AY166" s="29" t="e">
        <f t="shared" si="111"/>
        <v>#VALUE!</v>
      </c>
      <c r="AZ166" s="25" t="str">
        <f>IF(AND(A166&lt;&gt;"",B166&lt;&gt;"",C166&lt;&gt;"",D166&gt;0,E166&gt;0,N166&lt;&gt;"",AH166&gt;0,O166="Да",P166="Да",BZ166="ПОЛНО",ABS(AN166-1)&lt;='03_Настройки'!$B$5,IF(T166&gt;0,AND(U166&lt;&gt;"",V166&gt;0),TRUE()),IF(X166&gt;0,AND(Y166&lt;&gt;"",Z166&gt;0),TRUE()),IF(AB166&gt;0,AND(AC166&lt;&gt;"",AD166&gt;0),TRUE()),OR(BM166="",BM166="Активна")),"Да","Нет")</f>
        <v>Нет</v>
      </c>
      <c r="BA166" s="25" t="str">
        <f t="shared" si="112"/>
        <v>Нет</v>
      </c>
      <c r="BB166" s="25" t="str">
        <f t="shared" si="113"/>
        <v/>
      </c>
      <c r="BC166" s="25" t="str">
        <f t="shared" si="114"/>
        <v/>
      </c>
      <c r="BD166" s="25" t="str">
        <f t="shared" si="115"/>
        <v/>
      </c>
      <c r="BE166" s="25" t="str">
        <f>IF(A166="","",IF(BZ166&lt;&gt;"ПОЛНО","BLOCK: неполная форма",IF(O166&lt;&gt;"Да","BLOCK: ввоз не разрешён",IF(P166&lt;&gt;"Да","BLOCK: документы не подтверждены",IF(ABS(AN166-1)&gt;'03_Настройки'!$B$5,"BLOCK: платежи не 100%",IF(AND(BM166&lt;&gt;"",BM166&lt;&gt;"Активна"),"BLOCK: позиция "&amp;BM166,IF(BA166&lt;&gt;"Да","PARTIAL: не покрывает потребность",IF(BB166="ДА","самый дешёвый"&amp;IF(BC166="ДА"," + быстрый","")&amp;IF(BD166="ДА"," + optimal",""),IF(BC166="ДА","самый быстрый"&amp;IF(BD166="ДА"," + optimal",""),IF(BD166="ДА","optimal","Допущен"))))))))))</f>
        <v/>
      </c>
      <c r="BF166" s="25">
        <f>ROW()</f>
        <v>166</v>
      </c>
      <c r="BG166" s="33"/>
      <c r="BH166" s="33"/>
      <c r="BI166" s="33"/>
      <c r="BJ166" s="33"/>
      <c r="BK166" s="33"/>
      <c r="BL166" s="34"/>
      <c r="BM166" s="33"/>
      <c r="BN166" s="35" t="str">
        <f t="shared" si="116"/>
        <v/>
      </c>
      <c r="BO166" s="36" t="str">
        <f t="shared" si="117"/>
        <v/>
      </c>
      <c r="BP166" s="33"/>
      <c r="BQ166" s="38"/>
      <c r="BR166" s="13"/>
      <c r="BS166" s="13"/>
      <c r="BT166" s="13"/>
      <c r="BU166" s="13"/>
      <c r="BV166" s="13"/>
      <c r="BW166" s="13"/>
      <c r="BX166" s="39" t="str">
        <f t="shared" si="118"/>
        <v/>
      </c>
      <c r="BY166" s="47"/>
      <c r="BZ166" s="48" t="str">
        <f t="shared" si="119"/>
        <v/>
      </c>
      <c r="CA166" s="47"/>
      <c r="CB166" s="47"/>
      <c r="CC166" s="47"/>
    </row>
    <row r="167" spans="1:81" ht="14.25" x14ac:dyDescent="0.45">
      <c r="A167" s="10"/>
      <c r="B167" s="10"/>
      <c r="C167" s="10"/>
      <c r="D167" s="10"/>
      <c r="E167" s="10"/>
      <c r="F167" s="10"/>
      <c r="G167" s="10"/>
      <c r="H167" s="25" t="str">
        <f>IFERROR(VLOOKUP(C167,'01_Поставщики'!$A$4:$M$11,2,FALSE()),"")</f>
        <v/>
      </c>
      <c r="I167" s="10"/>
      <c r="J167" s="25" t="str">
        <f>IFERROR(VLOOKUP(C167,'01_Поставщики'!$A$4:$M$11,8,FALSE()),"")</f>
        <v/>
      </c>
      <c r="K167" s="25" t="str">
        <f>IFERROR(VLOOKUP(C167,'01_Поставщики'!$A$4:$M$11,4,FALSE()),"")</f>
        <v/>
      </c>
      <c r="L167" s="25" t="str">
        <f>IFERROR(VLOOKUP(C167,'01_Поставщики'!$A$4:$M$11,10,FALSE()),"")</f>
        <v/>
      </c>
      <c r="M167" s="26" t="str">
        <f>IF(OR(A167="",B167=""),"",IFERROR(SUMIFS('04_Потребность'!$B$4:$B$103,'04_Потребность'!$A$4:$A$103,A167,'04_Потребность'!$C$4:$C$103,B167),0))</f>
        <v/>
      </c>
      <c r="N167" s="11"/>
      <c r="O167" s="10"/>
      <c r="P167" s="10"/>
      <c r="Q167" s="27"/>
      <c r="R167" s="27"/>
      <c r="S167" s="8"/>
      <c r="T167" s="8">
        <f>IFERROR(INDEX('02_Схемы оплаты'!$C$4:$C$19,MATCH($C167&amp;"|"&amp;$G167,'02_Схемы оплаты'!$H$4:$H$19,0)),0)</f>
        <v>0</v>
      </c>
      <c r="U167" s="11"/>
      <c r="V167" s="28"/>
      <c r="W167" s="8"/>
      <c r="X167" s="8">
        <f>IFERROR(INDEX('02_Схемы оплаты'!$D$4:$D$19,MATCH($C167&amp;"|"&amp;$G167,'02_Схемы оплаты'!$H$4:$H$19,0)),0)</f>
        <v>0</v>
      </c>
      <c r="Y167" s="11"/>
      <c r="Z167" s="28"/>
      <c r="AA167" s="8"/>
      <c r="AB167" s="8">
        <f>IFERROR(INDEX('02_Схемы оплаты'!$E$4:$E$19,MATCH($C167&amp;"|"&amp;$G167,'02_Схемы оплаты'!$H$4:$H$19,0)),0)</f>
        <v>0</v>
      </c>
      <c r="AC167" s="11"/>
      <c r="AD167" s="28"/>
      <c r="AE167" s="8"/>
      <c r="AF167" s="10"/>
      <c r="AG167" s="10"/>
      <c r="AH167" s="25">
        <f>IFERROR(SUMIFS('04_Потребность'!$D$4:$D$103,'04_Потребность'!$A$4:$A$103,A167,'04_Потребность'!$C$4:$C$103,B167),0)</f>
        <v>0</v>
      </c>
      <c r="AI167" s="26" t="str">
        <f>IF(OR(A167="",B167=""),"",IFERROR(SUMIFS('04_Потребность'!$E$4:$E$103,'04_Потребность'!$A$4:$A$103,A167,'04_Потребность'!$C$4:$C$103,B167),0))</f>
        <v/>
      </c>
      <c r="AJ167" s="25" t="str">
        <f>IF(OR(A167="",B167=""),"",IFERROR(SUMIFS('04_Потребность'!$F$4:$F$103,'04_Потребность'!$A$4:$A$103,A167,'04_Потребность'!$C$4:$C$103,B167),0))</f>
        <v/>
      </c>
      <c r="AK167" s="29" t="str">
        <f>IF(OR(A167="",B167=""),"",IFERROR(SUMIFS('04_Потребность'!$G$4:$G$103,'04_Потребность'!$A$4:$A$103,A167,'04_Потребность'!$C$4:$C$103,B167),0))</f>
        <v/>
      </c>
      <c r="AL167" s="25" t="str">
        <f>IF('03_Настройки'!$B$7="Нет","Нет",IF(COUNTIFS('04_Потребность'!$A$4:$A$103,A167,'04_Потребность'!$C$4:$C$103,B167,'04_Потребность'!$H$4:$H$103,"Да")&gt;0,"Да","Нет"))</f>
        <v>Нет</v>
      </c>
      <c r="AM167" s="30">
        <f t="shared" si="100"/>
        <v>0</v>
      </c>
      <c r="AN167" s="30">
        <f t="shared" si="101"/>
        <v>0</v>
      </c>
      <c r="AO167" s="29">
        <f t="shared" si="102"/>
        <v>0</v>
      </c>
      <c r="AP167" s="29">
        <f t="shared" si="103"/>
        <v>0</v>
      </c>
      <c r="AQ167" s="29">
        <f t="shared" si="104"/>
        <v>0</v>
      </c>
      <c r="AR167" s="29">
        <f>IFERROR(E167*'03_Настройки'!$B$4/365*(IF(T167&gt;0,T167*V167*(1+W167)*MAX(0,N167-U167),0)+IF(X167&gt;0,X167*Z167*(1+AA167)*MAX(0,N167-Y167),0)+IF(AB167&gt;0,AB167*AD167*(1+AE167)*MAX(0,N167-AC167),0)),0)</f>
        <v>0</v>
      </c>
      <c r="AS167" s="29">
        <f t="shared" si="105"/>
        <v>0</v>
      </c>
      <c r="AT167" s="31">
        <f t="shared" si="106"/>
        <v>0</v>
      </c>
      <c r="AU167" s="31">
        <f t="shared" si="107"/>
        <v>0</v>
      </c>
      <c r="AV167" s="32">
        <f t="shared" si="108"/>
        <v>0</v>
      </c>
      <c r="AW167" s="29" t="e">
        <f t="shared" si="109"/>
        <v>#VALUE!</v>
      </c>
      <c r="AX167" s="29">
        <f t="shared" si="110"/>
        <v>0</v>
      </c>
      <c r="AY167" s="29" t="e">
        <f t="shared" si="111"/>
        <v>#VALUE!</v>
      </c>
      <c r="AZ167" s="25" t="str">
        <f>IF(AND(A167&lt;&gt;"",B167&lt;&gt;"",C167&lt;&gt;"",D167&gt;0,E167&gt;0,N167&lt;&gt;"",AH167&gt;0,O167="Да",P167="Да",BZ167="ПОЛНО",ABS(AN167-1)&lt;='03_Настройки'!$B$5,IF(T167&gt;0,AND(U167&lt;&gt;"",V167&gt;0),TRUE()),IF(X167&gt;0,AND(Y167&lt;&gt;"",Z167&gt;0),TRUE()),IF(AB167&gt;0,AND(AC167&lt;&gt;"",AD167&gt;0),TRUE()),OR(BM167="",BM167="Активна")),"Да","Нет")</f>
        <v>Нет</v>
      </c>
      <c r="BA167" s="25" t="str">
        <f t="shared" si="112"/>
        <v>Нет</v>
      </c>
      <c r="BB167" s="25" t="str">
        <f t="shared" si="113"/>
        <v/>
      </c>
      <c r="BC167" s="25" t="str">
        <f t="shared" si="114"/>
        <v/>
      </c>
      <c r="BD167" s="25" t="str">
        <f t="shared" si="115"/>
        <v/>
      </c>
      <c r="BE167" s="25" t="str">
        <f>IF(A167="","",IF(BZ167&lt;&gt;"ПОЛНО","BLOCK: неполная форма",IF(O167&lt;&gt;"Да","BLOCK: ввоз не разрешён",IF(P167&lt;&gt;"Да","BLOCK: документы не подтверждены",IF(ABS(AN167-1)&gt;'03_Настройки'!$B$5,"BLOCK: платежи не 100%",IF(AND(BM167&lt;&gt;"",BM167&lt;&gt;"Активна"),"BLOCK: позиция "&amp;BM167,IF(BA167&lt;&gt;"Да","PARTIAL: не покрывает потребность",IF(BB167="ДА","самый дешёвый"&amp;IF(BC167="ДА"," + быстрый","")&amp;IF(BD167="ДА"," + optimal",""),IF(BC167="ДА","самый быстрый"&amp;IF(BD167="ДА"," + optimal",""),IF(BD167="ДА","optimal","Допущен"))))))))))</f>
        <v/>
      </c>
      <c r="BF167" s="25">
        <f>ROW()</f>
        <v>167</v>
      </c>
      <c r="BG167" s="33"/>
      <c r="BH167" s="33"/>
      <c r="BI167" s="33"/>
      <c r="BJ167" s="33"/>
      <c r="BK167" s="33"/>
      <c r="BL167" s="34"/>
      <c r="BM167" s="33"/>
      <c r="BN167" s="35" t="str">
        <f t="shared" si="116"/>
        <v/>
      </c>
      <c r="BO167" s="36" t="str">
        <f t="shared" si="117"/>
        <v/>
      </c>
      <c r="BP167" s="33"/>
      <c r="BQ167" s="38"/>
      <c r="BR167" s="13"/>
      <c r="BS167" s="13"/>
      <c r="BT167" s="13"/>
      <c r="BU167" s="13"/>
      <c r="BV167" s="13"/>
      <c r="BW167" s="13"/>
      <c r="BX167" s="39" t="str">
        <f t="shared" si="118"/>
        <v/>
      </c>
      <c r="BY167" s="47"/>
      <c r="BZ167" s="48" t="str">
        <f t="shared" si="119"/>
        <v/>
      </c>
      <c r="CA167" s="47"/>
      <c r="CB167" s="47"/>
      <c r="CC167" s="47"/>
    </row>
    <row r="168" spans="1:81" ht="14.25" x14ac:dyDescent="0.45">
      <c r="A168" s="10"/>
      <c r="B168" s="10"/>
      <c r="C168" s="10"/>
      <c r="D168" s="10"/>
      <c r="E168" s="10"/>
      <c r="F168" s="10"/>
      <c r="G168" s="10"/>
      <c r="H168" s="25" t="str">
        <f>IFERROR(VLOOKUP(C168,'01_Поставщики'!$A$4:$M$11,2,FALSE()),"")</f>
        <v/>
      </c>
      <c r="I168" s="10"/>
      <c r="J168" s="25" t="str">
        <f>IFERROR(VLOOKUP(C168,'01_Поставщики'!$A$4:$M$11,8,FALSE()),"")</f>
        <v/>
      </c>
      <c r="K168" s="25" t="str">
        <f>IFERROR(VLOOKUP(C168,'01_Поставщики'!$A$4:$M$11,4,FALSE()),"")</f>
        <v/>
      </c>
      <c r="L168" s="25" t="str">
        <f>IFERROR(VLOOKUP(C168,'01_Поставщики'!$A$4:$M$11,10,FALSE()),"")</f>
        <v/>
      </c>
      <c r="M168" s="26" t="str">
        <f>IF(OR(A168="",B168=""),"",IFERROR(SUMIFS('04_Потребность'!$B$4:$B$103,'04_Потребность'!$A$4:$A$103,A168,'04_Потребность'!$C$4:$C$103,B168),0))</f>
        <v/>
      </c>
      <c r="N168" s="11"/>
      <c r="O168" s="10"/>
      <c r="P168" s="10"/>
      <c r="Q168" s="27"/>
      <c r="R168" s="27"/>
      <c r="S168" s="8"/>
      <c r="T168" s="8">
        <f>IFERROR(INDEX('02_Схемы оплаты'!$C$4:$C$19,MATCH($C168&amp;"|"&amp;$G168,'02_Схемы оплаты'!$H$4:$H$19,0)),0)</f>
        <v>0</v>
      </c>
      <c r="U168" s="11"/>
      <c r="V168" s="28"/>
      <c r="W168" s="8"/>
      <c r="X168" s="8">
        <f>IFERROR(INDEX('02_Схемы оплаты'!$D$4:$D$19,MATCH($C168&amp;"|"&amp;$G168,'02_Схемы оплаты'!$H$4:$H$19,0)),0)</f>
        <v>0</v>
      </c>
      <c r="Y168" s="11"/>
      <c r="Z168" s="28"/>
      <c r="AA168" s="8"/>
      <c r="AB168" s="8">
        <f>IFERROR(INDEX('02_Схемы оплаты'!$E$4:$E$19,MATCH($C168&amp;"|"&amp;$G168,'02_Схемы оплаты'!$H$4:$H$19,0)),0)</f>
        <v>0</v>
      </c>
      <c r="AC168" s="11"/>
      <c r="AD168" s="28"/>
      <c r="AE168" s="8"/>
      <c r="AF168" s="10"/>
      <c r="AG168" s="10"/>
      <c r="AH168" s="25">
        <f>IFERROR(SUMIFS('04_Потребность'!$D$4:$D$103,'04_Потребность'!$A$4:$A$103,A168,'04_Потребность'!$C$4:$C$103,B168),0)</f>
        <v>0</v>
      </c>
      <c r="AI168" s="26" t="str">
        <f>IF(OR(A168="",B168=""),"",IFERROR(SUMIFS('04_Потребность'!$E$4:$E$103,'04_Потребность'!$A$4:$A$103,A168,'04_Потребность'!$C$4:$C$103,B168),0))</f>
        <v/>
      </c>
      <c r="AJ168" s="25" t="str">
        <f>IF(OR(A168="",B168=""),"",IFERROR(SUMIFS('04_Потребность'!$F$4:$F$103,'04_Потребность'!$A$4:$A$103,A168,'04_Потребность'!$C$4:$C$103,B168),0))</f>
        <v/>
      </c>
      <c r="AK168" s="29" t="str">
        <f>IF(OR(A168="",B168=""),"",IFERROR(SUMIFS('04_Потребность'!$G$4:$G$103,'04_Потребность'!$A$4:$A$103,A168,'04_Потребность'!$C$4:$C$103,B168),0))</f>
        <v/>
      </c>
      <c r="AL168" s="25" t="str">
        <f>IF('03_Настройки'!$B$7="Нет","Нет",IF(COUNTIFS('04_Потребность'!$A$4:$A$103,A168,'04_Потребность'!$C$4:$C$103,B168,'04_Потребность'!$H$4:$H$103,"Да")&gt;0,"Да","Нет"))</f>
        <v>Нет</v>
      </c>
      <c r="AM168" s="30">
        <f t="shared" si="100"/>
        <v>0</v>
      </c>
      <c r="AN168" s="30">
        <f t="shared" si="101"/>
        <v>0</v>
      </c>
      <c r="AO168" s="29">
        <f t="shared" si="102"/>
        <v>0</v>
      </c>
      <c r="AP168" s="29">
        <f t="shared" si="103"/>
        <v>0</v>
      </c>
      <c r="AQ168" s="29">
        <f t="shared" si="104"/>
        <v>0</v>
      </c>
      <c r="AR168" s="29">
        <f>IFERROR(E168*'03_Настройки'!$B$4/365*(IF(T168&gt;0,T168*V168*(1+W168)*MAX(0,N168-U168),0)+IF(X168&gt;0,X168*Z168*(1+AA168)*MAX(0,N168-Y168),0)+IF(AB168&gt;0,AB168*AD168*(1+AE168)*MAX(0,N168-AC168),0)),0)</f>
        <v>0</v>
      </c>
      <c r="AS168" s="29">
        <f t="shared" si="105"/>
        <v>0</v>
      </c>
      <c r="AT168" s="31">
        <f t="shared" si="106"/>
        <v>0</v>
      </c>
      <c r="AU168" s="31">
        <f t="shared" si="107"/>
        <v>0</v>
      </c>
      <c r="AV168" s="32">
        <f t="shared" si="108"/>
        <v>0</v>
      </c>
      <c r="AW168" s="29" t="e">
        <f t="shared" si="109"/>
        <v>#VALUE!</v>
      </c>
      <c r="AX168" s="29">
        <f t="shared" si="110"/>
        <v>0</v>
      </c>
      <c r="AY168" s="29" t="e">
        <f t="shared" si="111"/>
        <v>#VALUE!</v>
      </c>
      <c r="AZ168" s="25" t="str">
        <f>IF(AND(A168&lt;&gt;"",B168&lt;&gt;"",C168&lt;&gt;"",D168&gt;0,E168&gt;0,N168&lt;&gt;"",AH168&gt;0,O168="Да",P168="Да",BZ168="ПОЛНО",ABS(AN168-1)&lt;='03_Настройки'!$B$5,IF(T168&gt;0,AND(U168&lt;&gt;"",V168&gt;0),TRUE()),IF(X168&gt;0,AND(Y168&lt;&gt;"",Z168&gt;0),TRUE()),IF(AB168&gt;0,AND(AC168&lt;&gt;"",AD168&gt;0),TRUE()),OR(BM168="",BM168="Активна")),"Да","Нет")</f>
        <v>Нет</v>
      </c>
      <c r="BA168" s="25" t="str">
        <f t="shared" si="112"/>
        <v>Нет</v>
      </c>
      <c r="BB168" s="25" t="str">
        <f t="shared" si="113"/>
        <v/>
      </c>
      <c r="BC168" s="25" t="str">
        <f t="shared" si="114"/>
        <v/>
      </c>
      <c r="BD168" s="25" t="str">
        <f t="shared" si="115"/>
        <v/>
      </c>
      <c r="BE168" s="25" t="str">
        <f>IF(A168="","",IF(BZ168&lt;&gt;"ПОЛНО","BLOCK: неполная форма",IF(O168&lt;&gt;"Да","BLOCK: ввоз не разрешён",IF(P168&lt;&gt;"Да","BLOCK: документы не подтверждены",IF(ABS(AN168-1)&gt;'03_Настройки'!$B$5,"BLOCK: платежи не 100%",IF(AND(BM168&lt;&gt;"",BM168&lt;&gt;"Активна"),"BLOCK: позиция "&amp;BM168,IF(BA168&lt;&gt;"Да","PARTIAL: не покрывает потребность",IF(BB168="ДА","самый дешёвый"&amp;IF(BC168="ДА"," + быстрый","")&amp;IF(BD168="ДА"," + optimal",""),IF(BC168="ДА","самый быстрый"&amp;IF(BD168="ДА"," + optimal",""),IF(BD168="ДА","optimal","Допущен"))))))))))</f>
        <v/>
      </c>
      <c r="BF168" s="25">
        <f>ROW()</f>
        <v>168</v>
      </c>
      <c r="BG168" s="33"/>
      <c r="BH168" s="33"/>
      <c r="BI168" s="33"/>
      <c r="BJ168" s="33"/>
      <c r="BK168" s="33"/>
      <c r="BL168" s="34"/>
      <c r="BM168" s="33"/>
      <c r="BN168" s="35" t="str">
        <f t="shared" si="116"/>
        <v/>
      </c>
      <c r="BO168" s="36" t="str">
        <f t="shared" si="117"/>
        <v/>
      </c>
      <c r="BP168" s="33"/>
      <c r="BQ168" s="38"/>
      <c r="BR168" s="13"/>
      <c r="BS168" s="13"/>
      <c r="BT168" s="13"/>
      <c r="BU168" s="13"/>
      <c r="BV168" s="13"/>
      <c r="BW168" s="13"/>
      <c r="BX168" s="39" t="str">
        <f t="shared" si="118"/>
        <v/>
      </c>
      <c r="BY168" s="47"/>
      <c r="BZ168" s="48" t="str">
        <f t="shared" si="119"/>
        <v/>
      </c>
      <c r="CA168" s="47"/>
      <c r="CB168" s="47"/>
      <c r="CC168" s="47"/>
    </row>
    <row r="169" spans="1:81" ht="14.25" x14ac:dyDescent="0.45">
      <c r="A169" s="10"/>
      <c r="B169" s="10"/>
      <c r="C169" s="10"/>
      <c r="D169" s="10"/>
      <c r="E169" s="10"/>
      <c r="F169" s="10"/>
      <c r="G169" s="10"/>
      <c r="H169" s="25" t="str">
        <f>IFERROR(VLOOKUP(C169,'01_Поставщики'!$A$4:$M$11,2,FALSE()),"")</f>
        <v/>
      </c>
      <c r="I169" s="10"/>
      <c r="J169" s="25" t="str">
        <f>IFERROR(VLOOKUP(C169,'01_Поставщики'!$A$4:$M$11,8,FALSE()),"")</f>
        <v/>
      </c>
      <c r="K169" s="25" t="str">
        <f>IFERROR(VLOOKUP(C169,'01_Поставщики'!$A$4:$M$11,4,FALSE()),"")</f>
        <v/>
      </c>
      <c r="L169" s="25" t="str">
        <f>IFERROR(VLOOKUP(C169,'01_Поставщики'!$A$4:$M$11,10,FALSE()),"")</f>
        <v/>
      </c>
      <c r="M169" s="26" t="str">
        <f>IF(OR(A169="",B169=""),"",IFERROR(SUMIFS('04_Потребность'!$B$4:$B$103,'04_Потребность'!$A$4:$A$103,A169,'04_Потребность'!$C$4:$C$103,B169),0))</f>
        <v/>
      </c>
      <c r="N169" s="11"/>
      <c r="O169" s="10"/>
      <c r="P169" s="10"/>
      <c r="Q169" s="27"/>
      <c r="R169" s="27"/>
      <c r="S169" s="8"/>
      <c r="T169" s="8">
        <f>IFERROR(INDEX('02_Схемы оплаты'!$C$4:$C$19,MATCH($C169&amp;"|"&amp;$G169,'02_Схемы оплаты'!$H$4:$H$19,0)),0)</f>
        <v>0</v>
      </c>
      <c r="U169" s="11"/>
      <c r="V169" s="28"/>
      <c r="W169" s="8"/>
      <c r="X169" s="8">
        <f>IFERROR(INDEX('02_Схемы оплаты'!$D$4:$D$19,MATCH($C169&amp;"|"&amp;$G169,'02_Схемы оплаты'!$H$4:$H$19,0)),0)</f>
        <v>0</v>
      </c>
      <c r="Y169" s="11"/>
      <c r="Z169" s="28"/>
      <c r="AA169" s="8"/>
      <c r="AB169" s="8">
        <f>IFERROR(INDEX('02_Схемы оплаты'!$E$4:$E$19,MATCH($C169&amp;"|"&amp;$G169,'02_Схемы оплаты'!$H$4:$H$19,0)),0)</f>
        <v>0</v>
      </c>
      <c r="AC169" s="11"/>
      <c r="AD169" s="28"/>
      <c r="AE169" s="8"/>
      <c r="AF169" s="10"/>
      <c r="AG169" s="10"/>
      <c r="AH169" s="25">
        <f>IFERROR(SUMIFS('04_Потребность'!$D$4:$D$103,'04_Потребность'!$A$4:$A$103,A169,'04_Потребность'!$C$4:$C$103,B169),0)</f>
        <v>0</v>
      </c>
      <c r="AI169" s="26" t="str">
        <f>IF(OR(A169="",B169=""),"",IFERROR(SUMIFS('04_Потребность'!$E$4:$E$103,'04_Потребность'!$A$4:$A$103,A169,'04_Потребность'!$C$4:$C$103,B169),0))</f>
        <v/>
      </c>
      <c r="AJ169" s="25" t="str">
        <f>IF(OR(A169="",B169=""),"",IFERROR(SUMIFS('04_Потребность'!$F$4:$F$103,'04_Потребность'!$A$4:$A$103,A169,'04_Потребность'!$C$4:$C$103,B169),0))</f>
        <v/>
      </c>
      <c r="AK169" s="29" t="str">
        <f>IF(OR(A169="",B169=""),"",IFERROR(SUMIFS('04_Потребность'!$G$4:$G$103,'04_Потребность'!$A$4:$A$103,A169,'04_Потребность'!$C$4:$C$103,B169),0))</f>
        <v/>
      </c>
      <c r="AL169" s="25" t="str">
        <f>IF('03_Настройки'!$B$7="Нет","Нет",IF(COUNTIFS('04_Потребность'!$A$4:$A$103,A169,'04_Потребность'!$C$4:$C$103,B169,'04_Потребность'!$H$4:$H$103,"Да")&gt;0,"Да","Нет"))</f>
        <v>Нет</v>
      </c>
      <c r="AM169" s="30">
        <f t="shared" si="100"/>
        <v>0</v>
      </c>
      <c r="AN169" s="30">
        <f t="shared" si="101"/>
        <v>0</v>
      </c>
      <c r="AO169" s="29">
        <f t="shared" si="102"/>
        <v>0</v>
      </c>
      <c r="AP169" s="29">
        <f t="shared" si="103"/>
        <v>0</v>
      </c>
      <c r="AQ169" s="29">
        <f t="shared" si="104"/>
        <v>0</v>
      </c>
      <c r="AR169" s="29">
        <f>IFERROR(E169*'03_Настройки'!$B$4/365*(IF(T169&gt;0,T169*V169*(1+W169)*MAX(0,N169-U169),0)+IF(X169&gt;0,X169*Z169*(1+AA169)*MAX(0,N169-Y169),0)+IF(AB169&gt;0,AB169*AD169*(1+AE169)*MAX(0,N169-AC169),0)),0)</f>
        <v>0</v>
      </c>
      <c r="AS169" s="29">
        <f t="shared" si="105"/>
        <v>0</v>
      </c>
      <c r="AT169" s="31">
        <f t="shared" si="106"/>
        <v>0</v>
      </c>
      <c r="AU169" s="31">
        <f t="shared" si="107"/>
        <v>0</v>
      </c>
      <c r="AV169" s="32">
        <f t="shared" si="108"/>
        <v>0</v>
      </c>
      <c r="AW169" s="29" t="e">
        <f t="shared" si="109"/>
        <v>#VALUE!</v>
      </c>
      <c r="AX169" s="29">
        <f t="shared" si="110"/>
        <v>0</v>
      </c>
      <c r="AY169" s="29" t="e">
        <f t="shared" si="111"/>
        <v>#VALUE!</v>
      </c>
      <c r="AZ169" s="25" t="str">
        <f>IF(AND(A169&lt;&gt;"",B169&lt;&gt;"",C169&lt;&gt;"",D169&gt;0,E169&gt;0,N169&lt;&gt;"",AH169&gt;0,O169="Да",P169="Да",BZ169="ПОЛНО",ABS(AN169-1)&lt;='03_Настройки'!$B$5,IF(T169&gt;0,AND(U169&lt;&gt;"",V169&gt;0),TRUE()),IF(X169&gt;0,AND(Y169&lt;&gt;"",Z169&gt;0),TRUE()),IF(AB169&gt;0,AND(AC169&lt;&gt;"",AD169&gt;0),TRUE()),OR(BM169="",BM169="Активна")),"Да","Нет")</f>
        <v>Нет</v>
      </c>
      <c r="BA169" s="25" t="str">
        <f t="shared" si="112"/>
        <v>Нет</v>
      </c>
      <c r="BB169" s="25" t="str">
        <f t="shared" si="113"/>
        <v/>
      </c>
      <c r="BC169" s="25" t="str">
        <f t="shared" si="114"/>
        <v/>
      </c>
      <c r="BD169" s="25" t="str">
        <f t="shared" si="115"/>
        <v/>
      </c>
      <c r="BE169" s="25" t="str">
        <f>IF(A169="","",IF(BZ169&lt;&gt;"ПОЛНО","BLOCK: неполная форма",IF(O169&lt;&gt;"Да","BLOCK: ввоз не разрешён",IF(P169&lt;&gt;"Да","BLOCK: документы не подтверждены",IF(ABS(AN169-1)&gt;'03_Настройки'!$B$5,"BLOCK: платежи не 100%",IF(AND(BM169&lt;&gt;"",BM169&lt;&gt;"Активна"),"BLOCK: позиция "&amp;BM169,IF(BA169&lt;&gt;"Да","PARTIAL: не покрывает потребность",IF(BB169="ДА","самый дешёвый"&amp;IF(BC169="ДА"," + быстрый","")&amp;IF(BD169="ДА"," + optimal",""),IF(BC169="ДА","самый быстрый"&amp;IF(BD169="ДА"," + optimal",""),IF(BD169="ДА","optimal","Допущен"))))))))))</f>
        <v/>
      </c>
      <c r="BF169" s="25">
        <f>ROW()</f>
        <v>169</v>
      </c>
      <c r="BG169" s="33"/>
      <c r="BH169" s="33"/>
      <c r="BI169" s="33"/>
      <c r="BJ169" s="33"/>
      <c r="BK169" s="33"/>
      <c r="BL169" s="34"/>
      <c r="BM169" s="33"/>
      <c r="BN169" s="35" t="str">
        <f t="shared" si="116"/>
        <v/>
      </c>
      <c r="BO169" s="36" t="str">
        <f t="shared" si="117"/>
        <v/>
      </c>
      <c r="BP169" s="33"/>
      <c r="BQ169" s="38"/>
      <c r="BR169" s="13"/>
      <c r="BS169" s="13"/>
      <c r="BT169" s="13"/>
      <c r="BU169" s="13"/>
      <c r="BV169" s="13"/>
      <c r="BW169" s="13"/>
      <c r="BX169" s="39" t="str">
        <f t="shared" si="118"/>
        <v/>
      </c>
      <c r="BY169" s="47"/>
      <c r="BZ169" s="48" t="str">
        <f t="shared" si="119"/>
        <v/>
      </c>
      <c r="CA169" s="47"/>
      <c r="CB169" s="47"/>
      <c r="CC169" s="47"/>
    </row>
    <row r="170" spans="1:81" ht="14.25" x14ac:dyDescent="0.45">
      <c r="A170" s="10"/>
      <c r="B170" s="10"/>
      <c r="C170" s="10"/>
      <c r="D170" s="10"/>
      <c r="E170" s="10"/>
      <c r="F170" s="10"/>
      <c r="G170" s="10"/>
      <c r="H170" s="25" t="str">
        <f>IFERROR(VLOOKUP(C170,'01_Поставщики'!$A$4:$M$11,2,FALSE()),"")</f>
        <v/>
      </c>
      <c r="I170" s="10"/>
      <c r="J170" s="25" t="str">
        <f>IFERROR(VLOOKUP(C170,'01_Поставщики'!$A$4:$M$11,8,FALSE()),"")</f>
        <v/>
      </c>
      <c r="K170" s="25" t="str">
        <f>IFERROR(VLOOKUP(C170,'01_Поставщики'!$A$4:$M$11,4,FALSE()),"")</f>
        <v/>
      </c>
      <c r="L170" s="25" t="str">
        <f>IFERROR(VLOOKUP(C170,'01_Поставщики'!$A$4:$M$11,10,FALSE()),"")</f>
        <v/>
      </c>
      <c r="M170" s="26" t="str">
        <f>IF(OR(A170="",B170=""),"",IFERROR(SUMIFS('04_Потребность'!$B$4:$B$103,'04_Потребность'!$A$4:$A$103,A170,'04_Потребность'!$C$4:$C$103,B170),0))</f>
        <v/>
      </c>
      <c r="N170" s="11"/>
      <c r="O170" s="10"/>
      <c r="P170" s="10"/>
      <c r="Q170" s="27"/>
      <c r="R170" s="27"/>
      <c r="S170" s="8"/>
      <c r="T170" s="8">
        <f>IFERROR(INDEX('02_Схемы оплаты'!$C$4:$C$19,MATCH($C170&amp;"|"&amp;$G170,'02_Схемы оплаты'!$H$4:$H$19,0)),0)</f>
        <v>0</v>
      </c>
      <c r="U170" s="11"/>
      <c r="V170" s="28"/>
      <c r="W170" s="8"/>
      <c r="X170" s="8">
        <f>IFERROR(INDEX('02_Схемы оплаты'!$D$4:$D$19,MATCH($C170&amp;"|"&amp;$G170,'02_Схемы оплаты'!$H$4:$H$19,0)),0)</f>
        <v>0</v>
      </c>
      <c r="Y170" s="11"/>
      <c r="Z170" s="28"/>
      <c r="AA170" s="8"/>
      <c r="AB170" s="8">
        <f>IFERROR(INDEX('02_Схемы оплаты'!$E$4:$E$19,MATCH($C170&amp;"|"&amp;$G170,'02_Схемы оплаты'!$H$4:$H$19,0)),0)</f>
        <v>0</v>
      </c>
      <c r="AC170" s="11"/>
      <c r="AD170" s="28"/>
      <c r="AE170" s="8"/>
      <c r="AF170" s="10"/>
      <c r="AG170" s="10"/>
      <c r="AH170" s="25">
        <f>IFERROR(SUMIFS('04_Потребность'!$D$4:$D$103,'04_Потребность'!$A$4:$A$103,A170,'04_Потребность'!$C$4:$C$103,B170),0)</f>
        <v>0</v>
      </c>
      <c r="AI170" s="26" t="str">
        <f>IF(OR(A170="",B170=""),"",IFERROR(SUMIFS('04_Потребность'!$E$4:$E$103,'04_Потребность'!$A$4:$A$103,A170,'04_Потребность'!$C$4:$C$103,B170),0))</f>
        <v/>
      </c>
      <c r="AJ170" s="25" t="str">
        <f>IF(OR(A170="",B170=""),"",IFERROR(SUMIFS('04_Потребность'!$F$4:$F$103,'04_Потребность'!$A$4:$A$103,A170,'04_Потребность'!$C$4:$C$103,B170),0))</f>
        <v/>
      </c>
      <c r="AK170" s="29" t="str">
        <f>IF(OR(A170="",B170=""),"",IFERROR(SUMIFS('04_Потребность'!$G$4:$G$103,'04_Потребность'!$A$4:$A$103,A170,'04_Потребность'!$C$4:$C$103,B170),0))</f>
        <v/>
      </c>
      <c r="AL170" s="25" t="str">
        <f>IF('03_Настройки'!$B$7="Нет","Нет",IF(COUNTIFS('04_Потребность'!$A$4:$A$103,A170,'04_Потребность'!$C$4:$C$103,B170,'04_Потребность'!$H$4:$H$103,"Да")&gt;0,"Да","Нет"))</f>
        <v>Нет</v>
      </c>
      <c r="AM170" s="30">
        <f t="shared" si="100"/>
        <v>0</v>
      </c>
      <c r="AN170" s="30">
        <f t="shared" si="101"/>
        <v>0</v>
      </c>
      <c r="AO170" s="29">
        <f t="shared" si="102"/>
        <v>0</v>
      </c>
      <c r="AP170" s="29">
        <f t="shared" si="103"/>
        <v>0</v>
      </c>
      <c r="AQ170" s="29">
        <f t="shared" si="104"/>
        <v>0</v>
      </c>
      <c r="AR170" s="29">
        <f>IFERROR(E170*'03_Настройки'!$B$4/365*(IF(T170&gt;0,T170*V170*(1+W170)*MAX(0,N170-U170),0)+IF(X170&gt;0,X170*Z170*(1+AA170)*MAX(0,N170-Y170),0)+IF(AB170&gt;0,AB170*AD170*(1+AE170)*MAX(0,N170-AC170),0)),0)</f>
        <v>0</v>
      </c>
      <c r="AS170" s="29">
        <f t="shared" si="105"/>
        <v>0</v>
      </c>
      <c r="AT170" s="31">
        <f t="shared" si="106"/>
        <v>0</v>
      </c>
      <c r="AU170" s="31">
        <f t="shared" si="107"/>
        <v>0</v>
      </c>
      <c r="AV170" s="32">
        <f t="shared" si="108"/>
        <v>0</v>
      </c>
      <c r="AW170" s="29" t="e">
        <f t="shared" si="109"/>
        <v>#VALUE!</v>
      </c>
      <c r="AX170" s="29">
        <f t="shared" si="110"/>
        <v>0</v>
      </c>
      <c r="AY170" s="29" t="e">
        <f t="shared" si="111"/>
        <v>#VALUE!</v>
      </c>
      <c r="AZ170" s="25" t="str">
        <f>IF(AND(A170&lt;&gt;"",B170&lt;&gt;"",C170&lt;&gt;"",D170&gt;0,E170&gt;0,N170&lt;&gt;"",AH170&gt;0,O170="Да",P170="Да",BZ170="ПОЛНО",ABS(AN170-1)&lt;='03_Настройки'!$B$5,IF(T170&gt;0,AND(U170&lt;&gt;"",V170&gt;0),TRUE()),IF(X170&gt;0,AND(Y170&lt;&gt;"",Z170&gt;0),TRUE()),IF(AB170&gt;0,AND(AC170&lt;&gt;"",AD170&gt;0),TRUE()),OR(BM170="",BM170="Активна")),"Да","Нет")</f>
        <v>Нет</v>
      </c>
      <c r="BA170" s="25" t="str">
        <f t="shared" si="112"/>
        <v>Нет</v>
      </c>
      <c r="BB170" s="25" t="str">
        <f t="shared" si="113"/>
        <v/>
      </c>
      <c r="BC170" s="25" t="str">
        <f t="shared" si="114"/>
        <v/>
      </c>
      <c r="BD170" s="25" t="str">
        <f t="shared" si="115"/>
        <v/>
      </c>
      <c r="BE170" s="25" t="str">
        <f>IF(A170="","",IF(BZ170&lt;&gt;"ПОЛНО","BLOCK: неполная форма",IF(O170&lt;&gt;"Да","BLOCK: ввоз не разрешён",IF(P170&lt;&gt;"Да","BLOCK: документы не подтверждены",IF(ABS(AN170-1)&gt;'03_Настройки'!$B$5,"BLOCK: платежи не 100%",IF(AND(BM170&lt;&gt;"",BM170&lt;&gt;"Активна"),"BLOCK: позиция "&amp;BM170,IF(BA170&lt;&gt;"Да","PARTIAL: не покрывает потребность",IF(BB170="ДА","самый дешёвый"&amp;IF(BC170="ДА"," + быстрый","")&amp;IF(BD170="ДА"," + optimal",""),IF(BC170="ДА","самый быстрый"&amp;IF(BD170="ДА"," + optimal",""),IF(BD170="ДА","optimal","Допущен"))))))))))</f>
        <v/>
      </c>
      <c r="BF170" s="25">
        <f>ROW()</f>
        <v>170</v>
      </c>
      <c r="BG170" s="33"/>
      <c r="BH170" s="33"/>
      <c r="BI170" s="33"/>
      <c r="BJ170" s="33"/>
      <c r="BK170" s="33"/>
      <c r="BL170" s="34"/>
      <c r="BM170" s="33"/>
      <c r="BN170" s="35" t="str">
        <f t="shared" si="116"/>
        <v/>
      </c>
      <c r="BO170" s="36" t="str">
        <f t="shared" si="117"/>
        <v/>
      </c>
      <c r="BP170" s="33"/>
      <c r="BQ170" s="38"/>
      <c r="BR170" s="13"/>
      <c r="BS170" s="13"/>
      <c r="BT170" s="13"/>
      <c r="BU170" s="13"/>
      <c r="BV170" s="13"/>
      <c r="BW170" s="13"/>
      <c r="BX170" s="39" t="str">
        <f t="shared" si="118"/>
        <v/>
      </c>
      <c r="BY170" s="47"/>
      <c r="BZ170" s="48" t="str">
        <f t="shared" si="119"/>
        <v/>
      </c>
      <c r="CA170" s="47"/>
      <c r="CB170" s="47"/>
      <c r="CC170" s="47"/>
    </row>
    <row r="171" spans="1:81" ht="14.25" x14ac:dyDescent="0.45">
      <c r="A171" s="10"/>
      <c r="B171" s="10"/>
      <c r="C171" s="10"/>
      <c r="D171" s="10"/>
      <c r="E171" s="10"/>
      <c r="F171" s="10"/>
      <c r="G171" s="10"/>
      <c r="H171" s="25" t="str">
        <f>IFERROR(VLOOKUP(C171,'01_Поставщики'!$A$4:$M$11,2,FALSE()),"")</f>
        <v/>
      </c>
      <c r="I171" s="10"/>
      <c r="J171" s="25" t="str">
        <f>IFERROR(VLOOKUP(C171,'01_Поставщики'!$A$4:$M$11,8,FALSE()),"")</f>
        <v/>
      </c>
      <c r="K171" s="25" t="str">
        <f>IFERROR(VLOOKUP(C171,'01_Поставщики'!$A$4:$M$11,4,FALSE()),"")</f>
        <v/>
      </c>
      <c r="L171" s="25" t="str">
        <f>IFERROR(VLOOKUP(C171,'01_Поставщики'!$A$4:$M$11,10,FALSE()),"")</f>
        <v/>
      </c>
      <c r="M171" s="26" t="str">
        <f>IF(OR(A171="",B171=""),"",IFERROR(SUMIFS('04_Потребность'!$B$4:$B$103,'04_Потребность'!$A$4:$A$103,A171,'04_Потребность'!$C$4:$C$103,B171),0))</f>
        <v/>
      </c>
      <c r="N171" s="11"/>
      <c r="O171" s="10"/>
      <c r="P171" s="10"/>
      <c r="Q171" s="27"/>
      <c r="R171" s="27"/>
      <c r="S171" s="8"/>
      <c r="T171" s="8">
        <f>IFERROR(INDEX('02_Схемы оплаты'!$C$4:$C$19,MATCH($C171&amp;"|"&amp;$G171,'02_Схемы оплаты'!$H$4:$H$19,0)),0)</f>
        <v>0</v>
      </c>
      <c r="U171" s="11"/>
      <c r="V171" s="28"/>
      <c r="W171" s="8"/>
      <c r="X171" s="8">
        <f>IFERROR(INDEX('02_Схемы оплаты'!$D$4:$D$19,MATCH($C171&amp;"|"&amp;$G171,'02_Схемы оплаты'!$H$4:$H$19,0)),0)</f>
        <v>0</v>
      </c>
      <c r="Y171" s="11"/>
      <c r="Z171" s="28"/>
      <c r="AA171" s="8"/>
      <c r="AB171" s="8">
        <f>IFERROR(INDEX('02_Схемы оплаты'!$E$4:$E$19,MATCH($C171&amp;"|"&amp;$G171,'02_Схемы оплаты'!$H$4:$H$19,0)),0)</f>
        <v>0</v>
      </c>
      <c r="AC171" s="11"/>
      <c r="AD171" s="28"/>
      <c r="AE171" s="8"/>
      <c r="AF171" s="10"/>
      <c r="AG171" s="10"/>
      <c r="AH171" s="25">
        <f>IFERROR(SUMIFS('04_Потребность'!$D$4:$D$103,'04_Потребность'!$A$4:$A$103,A171,'04_Потребность'!$C$4:$C$103,B171),0)</f>
        <v>0</v>
      </c>
      <c r="AI171" s="26" t="str">
        <f>IF(OR(A171="",B171=""),"",IFERROR(SUMIFS('04_Потребность'!$E$4:$E$103,'04_Потребность'!$A$4:$A$103,A171,'04_Потребность'!$C$4:$C$103,B171),0))</f>
        <v/>
      </c>
      <c r="AJ171" s="25" t="str">
        <f>IF(OR(A171="",B171=""),"",IFERROR(SUMIFS('04_Потребность'!$F$4:$F$103,'04_Потребность'!$A$4:$A$103,A171,'04_Потребность'!$C$4:$C$103,B171),0))</f>
        <v/>
      </c>
      <c r="AK171" s="29" t="str">
        <f>IF(OR(A171="",B171=""),"",IFERROR(SUMIFS('04_Потребность'!$G$4:$G$103,'04_Потребность'!$A$4:$A$103,A171,'04_Потребность'!$C$4:$C$103,B171),0))</f>
        <v/>
      </c>
      <c r="AL171" s="25" t="str">
        <f>IF('03_Настройки'!$B$7="Нет","Нет",IF(COUNTIFS('04_Потребность'!$A$4:$A$103,A171,'04_Потребность'!$C$4:$C$103,B171,'04_Потребность'!$H$4:$H$103,"Да")&gt;0,"Да","Нет"))</f>
        <v>Нет</v>
      </c>
      <c r="AM171" s="30">
        <f t="shared" si="100"/>
        <v>0</v>
      </c>
      <c r="AN171" s="30">
        <f t="shared" si="101"/>
        <v>0</v>
      </c>
      <c r="AO171" s="29">
        <f t="shared" si="102"/>
        <v>0</v>
      </c>
      <c r="AP171" s="29">
        <f t="shared" si="103"/>
        <v>0</v>
      </c>
      <c r="AQ171" s="29">
        <f t="shared" si="104"/>
        <v>0</v>
      </c>
      <c r="AR171" s="29">
        <f>IFERROR(E171*'03_Настройки'!$B$4/365*(IF(T171&gt;0,T171*V171*(1+W171)*MAX(0,N171-U171),0)+IF(X171&gt;0,X171*Z171*(1+AA171)*MAX(0,N171-Y171),0)+IF(AB171&gt;0,AB171*AD171*(1+AE171)*MAX(0,N171-AC171),0)),0)</f>
        <v>0</v>
      </c>
      <c r="AS171" s="29">
        <f t="shared" si="105"/>
        <v>0</v>
      </c>
      <c r="AT171" s="31">
        <f t="shared" si="106"/>
        <v>0</v>
      </c>
      <c r="AU171" s="31">
        <f t="shared" si="107"/>
        <v>0</v>
      </c>
      <c r="AV171" s="32">
        <f t="shared" si="108"/>
        <v>0</v>
      </c>
      <c r="AW171" s="29" t="e">
        <f t="shared" si="109"/>
        <v>#VALUE!</v>
      </c>
      <c r="AX171" s="29">
        <f t="shared" si="110"/>
        <v>0</v>
      </c>
      <c r="AY171" s="29" t="e">
        <f t="shared" si="111"/>
        <v>#VALUE!</v>
      </c>
      <c r="AZ171" s="25" t="str">
        <f>IF(AND(A171&lt;&gt;"",B171&lt;&gt;"",C171&lt;&gt;"",D171&gt;0,E171&gt;0,N171&lt;&gt;"",AH171&gt;0,O171="Да",P171="Да",BZ171="ПОЛНО",ABS(AN171-1)&lt;='03_Настройки'!$B$5,IF(T171&gt;0,AND(U171&lt;&gt;"",V171&gt;0),TRUE()),IF(X171&gt;0,AND(Y171&lt;&gt;"",Z171&gt;0),TRUE()),IF(AB171&gt;0,AND(AC171&lt;&gt;"",AD171&gt;0),TRUE()),OR(BM171="",BM171="Активна")),"Да","Нет")</f>
        <v>Нет</v>
      </c>
      <c r="BA171" s="25" t="str">
        <f t="shared" si="112"/>
        <v>Нет</v>
      </c>
      <c r="BB171" s="25" t="str">
        <f t="shared" si="113"/>
        <v/>
      </c>
      <c r="BC171" s="25" t="str">
        <f t="shared" si="114"/>
        <v/>
      </c>
      <c r="BD171" s="25" t="str">
        <f t="shared" si="115"/>
        <v/>
      </c>
      <c r="BE171" s="25" t="str">
        <f>IF(A171="","",IF(BZ171&lt;&gt;"ПОЛНО","BLOCK: неполная форма",IF(O171&lt;&gt;"Да","BLOCK: ввоз не разрешён",IF(P171&lt;&gt;"Да","BLOCK: документы не подтверждены",IF(ABS(AN171-1)&gt;'03_Настройки'!$B$5,"BLOCK: платежи не 100%",IF(AND(BM171&lt;&gt;"",BM171&lt;&gt;"Активна"),"BLOCK: позиция "&amp;BM171,IF(BA171&lt;&gt;"Да","PARTIAL: не покрывает потребность",IF(BB171="ДА","самый дешёвый"&amp;IF(BC171="ДА"," + быстрый","")&amp;IF(BD171="ДА"," + optimal",""),IF(BC171="ДА","самый быстрый"&amp;IF(BD171="ДА"," + optimal",""),IF(BD171="ДА","optimal","Допущен"))))))))))</f>
        <v/>
      </c>
      <c r="BF171" s="25">
        <f>ROW()</f>
        <v>171</v>
      </c>
      <c r="BG171" s="33"/>
      <c r="BH171" s="33"/>
      <c r="BI171" s="33"/>
      <c r="BJ171" s="33"/>
      <c r="BK171" s="33"/>
      <c r="BL171" s="34"/>
      <c r="BM171" s="33"/>
      <c r="BN171" s="35" t="str">
        <f t="shared" si="116"/>
        <v/>
      </c>
      <c r="BO171" s="36" t="str">
        <f t="shared" si="117"/>
        <v/>
      </c>
      <c r="BP171" s="33"/>
      <c r="BQ171" s="38"/>
      <c r="BR171" s="13"/>
      <c r="BS171" s="13"/>
      <c r="BT171" s="13"/>
      <c r="BU171" s="13"/>
      <c r="BV171" s="13"/>
      <c r="BW171" s="13"/>
      <c r="BX171" s="39" t="str">
        <f t="shared" si="118"/>
        <v/>
      </c>
      <c r="BY171" s="47"/>
      <c r="BZ171" s="48" t="str">
        <f t="shared" si="119"/>
        <v/>
      </c>
      <c r="CA171" s="47"/>
      <c r="CB171" s="47"/>
      <c r="CC171" s="47"/>
    </row>
    <row r="172" spans="1:81" ht="14.25" x14ac:dyDescent="0.45">
      <c r="A172" s="10"/>
      <c r="B172" s="10"/>
      <c r="C172" s="10"/>
      <c r="D172" s="10"/>
      <c r="E172" s="10"/>
      <c r="F172" s="10"/>
      <c r="G172" s="10"/>
      <c r="H172" s="25" t="str">
        <f>IFERROR(VLOOKUP(C172,'01_Поставщики'!$A$4:$M$11,2,FALSE()),"")</f>
        <v/>
      </c>
      <c r="I172" s="10"/>
      <c r="J172" s="25" t="str">
        <f>IFERROR(VLOOKUP(C172,'01_Поставщики'!$A$4:$M$11,8,FALSE()),"")</f>
        <v/>
      </c>
      <c r="K172" s="25" t="str">
        <f>IFERROR(VLOOKUP(C172,'01_Поставщики'!$A$4:$M$11,4,FALSE()),"")</f>
        <v/>
      </c>
      <c r="L172" s="25" t="str">
        <f>IFERROR(VLOOKUP(C172,'01_Поставщики'!$A$4:$M$11,10,FALSE()),"")</f>
        <v/>
      </c>
      <c r="M172" s="26" t="str">
        <f>IF(OR(A172="",B172=""),"",IFERROR(SUMIFS('04_Потребность'!$B$4:$B$103,'04_Потребность'!$A$4:$A$103,A172,'04_Потребность'!$C$4:$C$103,B172),0))</f>
        <v/>
      </c>
      <c r="N172" s="11"/>
      <c r="O172" s="10"/>
      <c r="P172" s="10"/>
      <c r="Q172" s="27"/>
      <c r="R172" s="27"/>
      <c r="S172" s="8"/>
      <c r="T172" s="8">
        <f>IFERROR(INDEX('02_Схемы оплаты'!$C$4:$C$19,MATCH($C172&amp;"|"&amp;$G172,'02_Схемы оплаты'!$H$4:$H$19,0)),0)</f>
        <v>0</v>
      </c>
      <c r="U172" s="11"/>
      <c r="V172" s="28"/>
      <c r="W172" s="8"/>
      <c r="X172" s="8">
        <f>IFERROR(INDEX('02_Схемы оплаты'!$D$4:$D$19,MATCH($C172&amp;"|"&amp;$G172,'02_Схемы оплаты'!$H$4:$H$19,0)),0)</f>
        <v>0</v>
      </c>
      <c r="Y172" s="11"/>
      <c r="Z172" s="28"/>
      <c r="AA172" s="8"/>
      <c r="AB172" s="8">
        <f>IFERROR(INDEX('02_Схемы оплаты'!$E$4:$E$19,MATCH($C172&amp;"|"&amp;$G172,'02_Схемы оплаты'!$H$4:$H$19,0)),0)</f>
        <v>0</v>
      </c>
      <c r="AC172" s="11"/>
      <c r="AD172" s="28"/>
      <c r="AE172" s="8"/>
      <c r="AF172" s="10"/>
      <c r="AG172" s="10"/>
      <c r="AH172" s="25">
        <f>IFERROR(SUMIFS('04_Потребность'!$D$4:$D$103,'04_Потребность'!$A$4:$A$103,A172,'04_Потребность'!$C$4:$C$103,B172),0)</f>
        <v>0</v>
      </c>
      <c r="AI172" s="26" t="str">
        <f>IF(OR(A172="",B172=""),"",IFERROR(SUMIFS('04_Потребность'!$E$4:$E$103,'04_Потребность'!$A$4:$A$103,A172,'04_Потребность'!$C$4:$C$103,B172),0))</f>
        <v/>
      </c>
      <c r="AJ172" s="25" t="str">
        <f>IF(OR(A172="",B172=""),"",IFERROR(SUMIFS('04_Потребность'!$F$4:$F$103,'04_Потребность'!$A$4:$A$103,A172,'04_Потребность'!$C$4:$C$103,B172),0))</f>
        <v/>
      </c>
      <c r="AK172" s="29" t="str">
        <f>IF(OR(A172="",B172=""),"",IFERROR(SUMIFS('04_Потребность'!$G$4:$G$103,'04_Потребность'!$A$4:$A$103,A172,'04_Потребность'!$C$4:$C$103,B172),0))</f>
        <v/>
      </c>
      <c r="AL172" s="25" t="str">
        <f>IF('03_Настройки'!$B$7="Нет","Нет",IF(COUNTIFS('04_Потребность'!$A$4:$A$103,A172,'04_Потребность'!$C$4:$C$103,B172,'04_Потребность'!$H$4:$H$103,"Да")&gt;0,"Да","Нет"))</f>
        <v>Нет</v>
      </c>
      <c r="AM172" s="30">
        <f t="shared" si="100"/>
        <v>0</v>
      </c>
      <c r="AN172" s="30">
        <f t="shared" si="101"/>
        <v>0</v>
      </c>
      <c r="AO172" s="29">
        <f t="shared" si="102"/>
        <v>0</v>
      </c>
      <c r="AP172" s="29">
        <f t="shared" si="103"/>
        <v>0</v>
      </c>
      <c r="AQ172" s="29">
        <f t="shared" si="104"/>
        <v>0</v>
      </c>
      <c r="AR172" s="29">
        <f>IFERROR(E172*'03_Настройки'!$B$4/365*(IF(T172&gt;0,T172*V172*(1+W172)*MAX(0,N172-U172),0)+IF(X172&gt;0,X172*Z172*(1+AA172)*MAX(0,N172-Y172),0)+IF(AB172&gt;0,AB172*AD172*(1+AE172)*MAX(0,N172-AC172),0)),0)</f>
        <v>0</v>
      </c>
      <c r="AS172" s="29">
        <f t="shared" si="105"/>
        <v>0</v>
      </c>
      <c r="AT172" s="31">
        <f t="shared" si="106"/>
        <v>0</v>
      </c>
      <c r="AU172" s="31">
        <f t="shared" si="107"/>
        <v>0</v>
      </c>
      <c r="AV172" s="32">
        <f t="shared" si="108"/>
        <v>0</v>
      </c>
      <c r="AW172" s="29" t="e">
        <f t="shared" si="109"/>
        <v>#VALUE!</v>
      </c>
      <c r="AX172" s="29">
        <f t="shared" si="110"/>
        <v>0</v>
      </c>
      <c r="AY172" s="29" t="e">
        <f t="shared" si="111"/>
        <v>#VALUE!</v>
      </c>
      <c r="AZ172" s="25" t="str">
        <f>IF(AND(A172&lt;&gt;"",B172&lt;&gt;"",C172&lt;&gt;"",D172&gt;0,E172&gt;0,N172&lt;&gt;"",AH172&gt;0,O172="Да",P172="Да",BZ172="ПОЛНО",ABS(AN172-1)&lt;='03_Настройки'!$B$5,IF(T172&gt;0,AND(U172&lt;&gt;"",V172&gt;0),TRUE()),IF(X172&gt;0,AND(Y172&lt;&gt;"",Z172&gt;0),TRUE()),IF(AB172&gt;0,AND(AC172&lt;&gt;"",AD172&gt;0),TRUE()),OR(BM172="",BM172="Активна")),"Да","Нет")</f>
        <v>Нет</v>
      </c>
      <c r="BA172" s="25" t="str">
        <f t="shared" si="112"/>
        <v>Нет</v>
      </c>
      <c r="BB172" s="25" t="str">
        <f t="shared" si="113"/>
        <v/>
      </c>
      <c r="BC172" s="25" t="str">
        <f t="shared" si="114"/>
        <v/>
      </c>
      <c r="BD172" s="25" t="str">
        <f t="shared" si="115"/>
        <v/>
      </c>
      <c r="BE172" s="25" t="str">
        <f>IF(A172="","",IF(BZ172&lt;&gt;"ПОЛНО","BLOCK: неполная форма",IF(O172&lt;&gt;"Да","BLOCK: ввоз не разрешён",IF(P172&lt;&gt;"Да","BLOCK: документы не подтверждены",IF(ABS(AN172-1)&gt;'03_Настройки'!$B$5,"BLOCK: платежи не 100%",IF(AND(BM172&lt;&gt;"",BM172&lt;&gt;"Активна"),"BLOCK: позиция "&amp;BM172,IF(BA172&lt;&gt;"Да","PARTIAL: не покрывает потребность",IF(BB172="ДА","самый дешёвый"&amp;IF(BC172="ДА"," + быстрый","")&amp;IF(BD172="ДА"," + optimal",""),IF(BC172="ДА","самый быстрый"&amp;IF(BD172="ДА"," + optimal",""),IF(BD172="ДА","optimal","Допущен"))))))))))</f>
        <v/>
      </c>
      <c r="BF172" s="25">
        <f>ROW()</f>
        <v>172</v>
      </c>
      <c r="BG172" s="33"/>
      <c r="BH172" s="33"/>
      <c r="BI172" s="33"/>
      <c r="BJ172" s="33"/>
      <c r="BK172" s="33"/>
      <c r="BL172" s="34"/>
      <c r="BM172" s="33"/>
      <c r="BN172" s="35" t="str">
        <f t="shared" si="116"/>
        <v/>
      </c>
      <c r="BO172" s="36" t="str">
        <f t="shared" si="117"/>
        <v/>
      </c>
      <c r="BP172" s="33"/>
      <c r="BQ172" s="38"/>
      <c r="BR172" s="13"/>
      <c r="BS172" s="13"/>
      <c r="BT172" s="13"/>
      <c r="BU172" s="13"/>
      <c r="BV172" s="13"/>
      <c r="BW172" s="13"/>
      <c r="BX172" s="39" t="str">
        <f t="shared" si="118"/>
        <v/>
      </c>
      <c r="BY172" s="47"/>
      <c r="BZ172" s="48" t="str">
        <f t="shared" si="119"/>
        <v/>
      </c>
      <c r="CA172" s="47"/>
      <c r="CB172" s="47"/>
      <c r="CC172" s="47"/>
    </row>
    <row r="173" spans="1:81" ht="14.25" x14ac:dyDescent="0.45">
      <c r="A173" s="10"/>
      <c r="B173" s="10"/>
      <c r="C173" s="10"/>
      <c r="D173" s="10"/>
      <c r="E173" s="10"/>
      <c r="F173" s="10"/>
      <c r="G173" s="10"/>
      <c r="H173" s="25" t="str">
        <f>IFERROR(VLOOKUP(C173,'01_Поставщики'!$A$4:$M$11,2,FALSE()),"")</f>
        <v/>
      </c>
      <c r="I173" s="10"/>
      <c r="J173" s="25" t="str">
        <f>IFERROR(VLOOKUP(C173,'01_Поставщики'!$A$4:$M$11,8,FALSE()),"")</f>
        <v/>
      </c>
      <c r="K173" s="25" t="str">
        <f>IFERROR(VLOOKUP(C173,'01_Поставщики'!$A$4:$M$11,4,FALSE()),"")</f>
        <v/>
      </c>
      <c r="L173" s="25" t="str">
        <f>IFERROR(VLOOKUP(C173,'01_Поставщики'!$A$4:$M$11,10,FALSE()),"")</f>
        <v/>
      </c>
      <c r="M173" s="26" t="str">
        <f>IF(OR(A173="",B173=""),"",IFERROR(SUMIFS('04_Потребность'!$B$4:$B$103,'04_Потребность'!$A$4:$A$103,A173,'04_Потребность'!$C$4:$C$103,B173),0))</f>
        <v/>
      </c>
      <c r="N173" s="11"/>
      <c r="O173" s="10"/>
      <c r="P173" s="10"/>
      <c r="Q173" s="27"/>
      <c r="R173" s="27"/>
      <c r="S173" s="8"/>
      <c r="T173" s="8">
        <f>IFERROR(INDEX('02_Схемы оплаты'!$C$4:$C$19,MATCH($C173&amp;"|"&amp;$G173,'02_Схемы оплаты'!$H$4:$H$19,0)),0)</f>
        <v>0</v>
      </c>
      <c r="U173" s="11"/>
      <c r="V173" s="28"/>
      <c r="W173" s="8"/>
      <c r="X173" s="8">
        <f>IFERROR(INDEX('02_Схемы оплаты'!$D$4:$D$19,MATCH($C173&amp;"|"&amp;$G173,'02_Схемы оплаты'!$H$4:$H$19,0)),0)</f>
        <v>0</v>
      </c>
      <c r="Y173" s="11"/>
      <c r="Z173" s="28"/>
      <c r="AA173" s="8"/>
      <c r="AB173" s="8">
        <f>IFERROR(INDEX('02_Схемы оплаты'!$E$4:$E$19,MATCH($C173&amp;"|"&amp;$G173,'02_Схемы оплаты'!$H$4:$H$19,0)),0)</f>
        <v>0</v>
      </c>
      <c r="AC173" s="11"/>
      <c r="AD173" s="28"/>
      <c r="AE173" s="8"/>
      <c r="AF173" s="10"/>
      <c r="AG173" s="10"/>
      <c r="AH173" s="25">
        <f>IFERROR(SUMIFS('04_Потребность'!$D$4:$D$103,'04_Потребность'!$A$4:$A$103,A173,'04_Потребность'!$C$4:$C$103,B173),0)</f>
        <v>0</v>
      </c>
      <c r="AI173" s="26" t="str">
        <f>IF(OR(A173="",B173=""),"",IFERROR(SUMIFS('04_Потребность'!$E$4:$E$103,'04_Потребность'!$A$4:$A$103,A173,'04_Потребность'!$C$4:$C$103,B173),0))</f>
        <v/>
      </c>
      <c r="AJ173" s="25" t="str">
        <f>IF(OR(A173="",B173=""),"",IFERROR(SUMIFS('04_Потребность'!$F$4:$F$103,'04_Потребность'!$A$4:$A$103,A173,'04_Потребность'!$C$4:$C$103,B173),0))</f>
        <v/>
      </c>
      <c r="AK173" s="29" t="str">
        <f>IF(OR(A173="",B173=""),"",IFERROR(SUMIFS('04_Потребность'!$G$4:$G$103,'04_Потребность'!$A$4:$A$103,A173,'04_Потребность'!$C$4:$C$103,B173),0))</f>
        <v/>
      </c>
      <c r="AL173" s="25" t="str">
        <f>IF('03_Настройки'!$B$7="Нет","Нет",IF(COUNTIFS('04_Потребность'!$A$4:$A$103,A173,'04_Потребность'!$C$4:$C$103,B173,'04_Потребность'!$H$4:$H$103,"Да")&gt;0,"Да","Нет"))</f>
        <v>Нет</v>
      </c>
      <c r="AM173" s="30">
        <f t="shared" si="100"/>
        <v>0</v>
      </c>
      <c r="AN173" s="30">
        <f t="shared" si="101"/>
        <v>0</v>
      </c>
      <c r="AO173" s="29">
        <f t="shared" si="102"/>
        <v>0</v>
      </c>
      <c r="AP173" s="29">
        <f t="shared" si="103"/>
        <v>0</v>
      </c>
      <c r="AQ173" s="29">
        <f t="shared" si="104"/>
        <v>0</v>
      </c>
      <c r="AR173" s="29">
        <f>IFERROR(E173*'03_Настройки'!$B$4/365*(IF(T173&gt;0,T173*V173*(1+W173)*MAX(0,N173-U173),0)+IF(X173&gt;0,X173*Z173*(1+AA173)*MAX(0,N173-Y173),0)+IF(AB173&gt;0,AB173*AD173*(1+AE173)*MAX(0,N173-AC173),0)),0)</f>
        <v>0</v>
      </c>
      <c r="AS173" s="29">
        <f t="shared" si="105"/>
        <v>0</v>
      </c>
      <c r="AT173" s="31">
        <f t="shared" si="106"/>
        <v>0</v>
      </c>
      <c r="AU173" s="31">
        <f t="shared" si="107"/>
        <v>0</v>
      </c>
      <c r="AV173" s="32">
        <f t="shared" si="108"/>
        <v>0</v>
      </c>
      <c r="AW173" s="29" t="e">
        <f t="shared" si="109"/>
        <v>#VALUE!</v>
      </c>
      <c r="AX173" s="29">
        <f t="shared" si="110"/>
        <v>0</v>
      </c>
      <c r="AY173" s="29" t="e">
        <f t="shared" si="111"/>
        <v>#VALUE!</v>
      </c>
      <c r="AZ173" s="25" t="str">
        <f>IF(AND(A173&lt;&gt;"",B173&lt;&gt;"",C173&lt;&gt;"",D173&gt;0,E173&gt;0,N173&lt;&gt;"",AH173&gt;0,O173="Да",P173="Да",BZ173="ПОЛНО",ABS(AN173-1)&lt;='03_Настройки'!$B$5,IF(T173&gt;0,AND(U173&lt;&gt;"",V173&gt;0),TRUE()),IF(X173&gt;0,AND(Y173&lt;&gt;"",Z173&gt;0),TRUE()),IF(AB173&gt;0,AND(AC173&lt;&gt;"",AD173&gt;0),TRUE()),OR(BM173="",BM173="Активна")),"Да","Нет")</f>
        <v>Нет</v>
      </c>
      <c r="BA173" s="25" t="str">
        <f t="shared" si="112"/>
        <v>Нет</v>
      </c>
      <c r="BB173" s="25" t="str">
        <f t="shared" si="113"/>
        <v/>
      </c>
      <c r="BC173" s="25" t="str">
        <f t="shared" si="114"/>
        <v/>
      </c>
      <c r="BD173" s="25" t="str">
        <f t="shared" si="115"/>
        <v/>
      </c>
      <c r="BE173" s="25" t="str">
        <f>IF(A173="","",IF(BZ173&lt;&gt;"ПОЛНО","BLOCK: неполная форма",IF(O173&lt;&gt;"Да","BLOCK: ввоз не разрешён",IF(P173&lt;&gt;"Да","BLOCK: документы не подтверждены",IF(ABS(AN173-1)&gt;'03_Настройки'!$B$5,"BLOCK: платежи не 100%",IF(AND(BM173&lt;&gt;"",BM173&lt;&gt;"Активна"),"BLOCK: позиция "&amp;BM173,IF(BA173&lt;&gt;"Да","PARTIAL: не покрывает потребность",IF(BB173="ДА","самый дешёвый"&amp;IF(BC173="ДА"," + быстрый","")&amp;IF(BD173="ДА"," + optimal",""),IF(BC173="ДА","самый быстрый"&amp;IF(BD173="ДА"," + optimal",""),IF(BD173="ДА","optimal","Допущен"))))))))))</f>
        <v/>
      </c>
      <c r="BF173" s="25">
        <f>ROW()</f>
        <v>173</v>
      </c>
      <c r="BG173" s="33"/>
      <c r="BH173" s="33"/>
      <c r="BI173" s="33"/>
      <c r="BJ173" s="33"/>
      <c r="BK173" s="33"/>
      <c r="BL173" s="34"/>
      <c r="BM173" s="33"/>
      <c r="BN173" s="35" t="str">
        <f t="shared" si="116"/>
        <v/>
      </c>
      <c r="BO173" s="36" t="str">
        <f t="shared" si="117"/>
        <v/>
      </c>
      <c r="BP173" s="33"/>
      <c r="BQ173" s="38"/>
      <c r="BR173" s="13"/>
      <c r="BS173" s="13"/>
      <c r="BT173" s="13"/>
      <c r="BU173" s="13"/>
      <c r="BV173" s="13"/>
      <c r="BW173" s="13"/>
      <c r="BX173" s="39" t="str">
        <f t="shared" si="118"/>
        <v/>
      </c>
      <c r="BY173" s="47"/>
      <c r="BZ173" s="48" t="str">
        <f t="shared" si="119"/>
        <v/>
      </c>
      <c r="CA173" s="47"/>
      <c r="CB173" s="47"/>
      <c r="CC173" s="47"/>
    </row>
    <row r="174" spans="1:81" ht="14.25" x14ac:dyDescent="0.45">
      <c r="A174" s="10"/>
      <c r="B174" s="10"/>
      <c r="C174" s="10"/>
      <c r="D174" s="10"/>
      <c r="E174" s="10"/>
      <c r="F174" s="10"/>
      <c r="G174" s="10"/>
      <c r="H174" s="25" t="str">
        <f>IFERROR(VLOOKUP(C174,'01_Поставщики'!$A$4:$M$11,2,FALSE()),"")</f>
        <v/>
      </c>
      <c r="I174" s="10"/>
      <c r="J174" s="25" t="str">
        <f>IFERROR(VLOOKUP(C174,'01_Поставщики'!$A$4:$M$11,8,FALSE()),"")</f>
        <v/>
      </c>
      <c r="K174" s="25" t="str">
        <f>IFERROR(VLOOKUP(C174,'01_Поставщики'!$A$4:$M$11,4,FALSE()),"")</f>
        <v/>
      </c>
      <c r="L174" s="25" t="str">
        <f>IFERROR(VLOOKUP(C174,'01_Поставщики'!$A$4:$M$11,10,FALSE()),"")</f>
        <v/>
      </c>
      <c r="M174" s="26" t="str">
        <f>IF(OR(A174="",B174=""),"",IFERROR(SUMIFS('04_Потребность'!$B$4:$B$103,'04_Потребность'!$A$4:$A$103,A174,'04_Потребность'!$C$4:$C$103,B174),0))</f>
        <v/>
      </c>
      <c r="N174" s="11"/>
      <c r="O174" s="10"/>
      <c r="P174" s="10"/>
      <c r="Q174" s="27"/>
      <c r="R174" s="27"/>
      <c r="S174" s="8"/>
      <c r="T174" s="8">
        <f>IFERROR(INDEX('02_Схемы оплаты'!$C$4:$C$19,MATCH($C174&amp;"|"&amp;$G174,'02_Схемы оплаты'!$H$4:$H$19,0)),0)</f>
        <v>0</v>
      </c>
      <c r="U174" s="11"/>
      <c r="V174" s="28"/>
      <c r="W174" s="8"/>
      <c r="X174" s="8">
        <f>IFERROR(INDEX('02_Схемы оплаты'!$D$4:$D$19,MATCH($C174&amp;"|"&amp;$G174,'02_Схемы оплаты'!$H$4:$H$19,0)),0)</f>
        <v>0</v>
      </c>
      <c r="Y174" s="11"/>
      <c r="Z174" s="28"/>
      <c r="AA174" s="8"/>
      <c r="AB174" s="8">
        <f>IFERROR(INDEX('02_Схемы оплаты'!$E$4:$E$19,MATCH($C174&amp;"|"&amp;$G174,'02_Схемы оплаты'!$H$4:$H$19,0)),0)</f>
        <v>0</v>
      </c>
      <c r="AC174" s="11"/>
      <c r="AD174" s="28"/>
      <c r="AE174" s="8"/>
      <c r="AF174" s="10"/>
      <c r="AG174" s="10"/>
      <c r="AH174" s="25">
        <f>IFERROR(SUMIFS('04_Потребность'!$D$4:$D$103,'04_Потребность'!$A$4:$A$103,A174,'04_Потребность'!$C$4:$C$103,B174),0)</f>
        <v>0</v>
      </c>
      <c r="AI174" s="26" t="str">
        <f>IF(OR(A174="",B174=""),"",IFERROR(SUMIFS('04_Потребность'!$E$4:$E$103,'04_Потребность'!$A$4:$A$103,A174,'04_Потребность'!$C$4:$C$103,B174),0))</f>
        <v/>
      </c>
      <c r="AJ174" s="25" t="str">
        <f>IF(OR(A174="",B174=""),"",IFERROR(SUMIFS('04_Потребность'!$F$4:$F$103,'04_Потребность'!$A$4:$A$103,A174,'04_Потребность'!$C$4:$C$103,B174),0))</f>
        <v/>
      </c>
      <c r="AK174" s="29" t="str">
        <f>IF(OR(A174="",B174=""),"",IFERROR(SUMIFS('04_Потребность'!$G$4:$G$103,'04_Потребность'!$A$4:$A$103,A174,'04_Потребность'!$C$4:$C$103,B174),0))</f>
        <v/>
      </c>
      <c r="AL174" s="25" t="str">
        <f>IF('03_Настройки'!$B$7="Нет","Нет",IF(COUNTIFS('04_Потребность'!$A$4:$A$103,A174,'04_Потребность'!$C$4:$C$103,B174,'04_Потребность'!$H$4:$H$103,"Да")&gt;0,"Да","Нет"))</f>
        <v>Нет</v>
      </c>
      <c r="AM174" s="30">
        <f t="shared" si="100"/>
        <v>0</v>
      </c>
      <c r="AN174" s="30">
        <f t="shared" si="101"/>
        <v>0</v>
      </c>
      <c r="AO174" s="29">
        <f t="shared" si="102"/>
        <v>0</v>
      </c>
      <c r="AP174" s="29">
        <f t="shared" si="103"/>
        <v>0</v>
      </c>
      <c r="AQ174" s="29">
        <f t="shared" si="104"/>
        <v>0</v>
      </c>
      <c r="AR174" s="29">
        <f>IFERROR(E174*'03_Настройки'!$B$4/365*(IF(T174&gt;0,T174*V174*(1+W174)*MAX(0,N174-U174),0)+IF(X174&gt;0,X174*Z174*(1+AA174)*MAX(0,N174-Y174),0)+IF(AB174&gt;0,AB174*AD174*(1+AE174)*MAX(0,N174-AC174),0)),0)</f>
        <v>0</v>
      </c>
      <c r="AS174" s="29">
        <f t="shared" si="105"/>
        <v>0</v>
      </c>
      <c r="AT174" s="31">
        <f t="shared" si="106"/>
        <v>0</v>
      </c>
      <c r="AU174" s="31">
        <f t="shared" si="107"/>
        <v>0</v>
      </c>
      <c r="AV174" s="32">
        <f t="shared" si="108"/>
        <v>0</v>
      </c>
      <c r="AW174" s="29" t="e">
        <f t="shared" si="109"/>
        <v>#VALUE!</v>
      </c>
      <c r="AX174" s="29">
        <f t="shared" si="110"/>
        <v>0</v>
      </c>
      <c r="AY174" s="29" t="e">
        <f t="shared" si="111"/>
        <v>#VALUE!</v>
      </c>
      <c r="AZ174" s="25" t="str">
        <f>IF(AND(A174&lt;&gt;"",B174&lt;&gt;"",C174&lt;&gt;"",D174&gt;0,E174&gt;0,N174&lt;&gt;"",AH174&gt;0,O174="Да",P174="Да",BZ174="ПОЛНО",ABS(AN174-1)&lt;='03_Настройки'!$B$5,IF(T174&gt;0,AND(U174&lt;&gt;"",V174&gt;0),TRUE()),IF(X174&gt;0,AND(Y174&lt;&gt;"",Z174&gt;0),TRUE()),IF(AB174&gt;0,AND(AC174&lt;&gt;"",AD174&gt;0),TRUE()),OR(BM174="",BM174="Активна")),"Да","Нет")</f>
        <v>Нет</v>
      </c>
      <c r="BA174" s="25" t="str">
        <f t="shared" si="112"/>
        <v>Нет</v>
      </c>
      <c r="BB174" s="25" t="str">
        <f t="shared" si="113"/>
        <v/>
      </c>
      <c r="BC174" s="25" t="str">
        <f t="shared" si="114"/>
        <v/>
      </c>
      <c r="BD174" s="25" t="str">
        <f t="shared" si="115"/>
        <v/>
      </c>
      <c r="BE174" s="25" t="str">
        <f>IF(A174="","",IF(BZ174&lt;&gt;"ПОЛНО","BLOCK: неполная форма",IF(O174&lt;&gt;"Да","BLOCK: ввоз не разрешён",IF(P174&lt;&gt;"Да","BLOCK: документы не подтверждены",IF(ABS(AN174-1)&gt;'03_Настройки'!$B$5,"BLOCK: платежи не 100%",IF(AND(BM174&lt;&gt;"",BM174&lt;&gt;"Активна"),"BLOCK: позиция "&amp;BM174,IF(BA174&lt;&gt;"Да","PARTIAL: не покрывает потребность",IF(BB174="ДА","самый дешёвый"&amp;IF(BC174="ДА"," + быстрый","")&amp;IF(BD174="ДА"," + optimal",""),IF(BC174="ДА","самый быстрый"&amp;IF(BD174="ДА"," + optimal",""),IF(BD174="ДА","optimal","Допущен"))))))))))</f>
        <v/>
      </c>
      <c r="BF174" s="25">
        <f>ROW()</f>
        <v>174</v>
      </c>
      <c r="BG174" s="33"/>
      <c r="BH174" s="33"/>
      <c r="BI174" s="33"/>
      <c r="BJ174" s="33"/>
      <c r="BK174" s="33"/>
      <c r="BL174" s="34"/>
      <c r="BM174" s="33"/>
      <c r="BN174" s="35" t="str">
        <f t="shared" si="116"/>
        <v/>
      </c>
      <c r="BO174" s="36" t="str">
        <f t="shared" si="117"/>
        <v/>
      </c>
      <c r="BP174" s="33"/>
      <c r="BQ174" s="38"/>
      <c r="BR174" s="13"/>
      <c r="BS174" s="13"/>
      <c r="BT174" s="13"/>
      <c r="BU174" s="13"/>
      <c r="BV174" s="13"/>
      <c r="BW174" s="13"/>
      <c r="BX174" s="39" t="str">
        <f t="shared" si="118"/>
        <v/>
      </c>
      <c r="BY174" s="47"/>
      <c r="BZ174" s="48" t="str">
        <f t="shared" si="119"/>
        <v/>
      </c>
      <c r="CA174" s="47"/>
      <c r="CB174" s="47"/>
      <c r="CC174" s="47"/>
    </row>
    <row r="175" spans="1:81" ht="14.25" x14ac:dyDescent="0.45">
      <c r="A175" s="10"/>
      <c r="B175" s="10"/>
      <c r="C175" s="10"/>
      <c r="D175" s="10"/>
      <c r="E175" s="10"/>
      <c r="F175" s="10"/>
      <c r="G175" s="10"/>
      <c r="H175" s="25" t="str">
        <f>IFERROR(VLOOKUP(C175,'01_Поставщики'!$A$4:$M$11,2,FALSE()),"")</f>
        <v/>
      </c>
      <c r="I175" s="10"/>
      <c r="J175" s="25" t="str">
        <f>IFERROR(VLOOKUP(C175,'01_Поставщики'!$A$4:$M$11,8,FALSE()),"")</f>
        <v/>
      </c>
      <c r="K175" s="25" t="str">
        <f>IFERROR(VLOOKUP(C175,'01_Поставщики'!$A$4:$M$11,4,FALSE()),"")</f>
        <v/>
      </c>
      <c r="L175" s="25" t="str">
        <f>IFERROR(VLOOKUP(C175,'01_Поставщики'!$A$4:$M$11,10,FALSE()),"")</f>
        <v/>
      </c>
      <c r="M175" s="26" t="str">
        <f>IF(OR(A175="",B175=""),"",IFERROR(SUMIFS('04_Потребность'!$B$4:$B$103,'04_Потребность'!$A$4:$A$103,A175,'04_Потребность'!$C$4:$C$103,B175),0))</f>
        <v/>
      </c>
      <c r="N175" s="11"/>
      <c r="O175" s="10"/>
      <c r="P175" s="10"/>
      <c r="Q175" s="27"/>
      <c r="R175" s="27"/>
      <c r="S175" s="8"/>
      <c r="T175" s="8">
        <f>IFERROR(INDEX('02_Схемы оплаты'!$C$4:$C$19,MATCH($C175&amp;"|"&amp;$G175,'02_Схемы оплаты'!$H$4:$H$19,0)),0)</f>
        <v>0</v>
      </c>
      <c r="U175" s="11"/>
      <c r="V175" s="28"/>
      <c r="W175" s="8"/>
      <c r="X175" s="8">
        <f>IFERROR(INDEX('02_Схемы оплаты'!$D$4:$D$19,MATCH($C175&amp;"|"&amp;$G175,'02_Схемы оплаты'!$H$4:$H$19,0)),0)</f>
        <v>0</v>
      </c>
      <c r="Y175" s="11"/>
      <c r="Z175" s="28"/>
      <c r="AA175" s="8"/>
      <c r="AB175" s="8">
        <f>IFERROR(INDEX('02_Схемы оплаты'!$E$4:$E$19,MATCH($C175&amp;"|"&amp;$G175,'02_Схемы оплаты'!$H$4:$H$19,0)),0)</f>
        <v>0</v>
      </c>
      <c r="AC175" s="11"/>
      <c r="AD175" s="28"/>
      <c r="AE175" s="8"/>
      <c r="AF175" s="10"/>
      <c r="AG175" s="10"/>
      <c r="AH175" s="25">
        <f>IFERROR(SUMIFS('04_Потребность'!$D$4:$D$103,'04_Потребность'!$A$4:$A$103,A175,'04_Потребность'!$C$4:$C$103,B175),0)</f>
        <v>0</v>
      </c>
      <c r="AI175" s="26" t="str">
        <f>IF(OR(A175="",B175=""),"",IFERROR(SUMIFS('04_Потребность'!$E$4:$E$103,'04_Потребность'!$A$4:$A$103,A175,'04_Потребность'!$C$4:$C$103,B175),0))</f>
        <v/>
      </c>
      <c r="AJ175" s="25" t="str">
        <f>IF(OR(A175="",B175=""),"",IFERROR(SUMIFS('04_Потребность'!$F$4:$F$103,'04_Потребность'!$A$4:$A$103,A175,'04_Потребность'!$C$4:$C$103,B175),0))</f>
        <v/>
      </c>
      <c r="AK175" s="29" t="str">
        <f>IF(OR(A175="",B175=""),"",IFERROR(SUMIFS('04_Потребность'!$G$4:$G$103,'04_Потребность'!$A$4:$A$103,A175,'04_Потребность'!$C$4:$C$103,B175),0))</f>
        <v/>
      </c>
      <c r="AL175" s="25" t="str">
        <f>IF('03_Настройки'!$B$7="Нет","Нет",IF(COUNTIFS('04_Потребность'!$A$4:$A$103,A175,'04_Потребность'!$C$4:$C$103,B175,'04_Потребность'!$H$4:$H$103,"Да")&gt;0,"Да","Нет"))</f>
        <v>Нет</v>
      </c>
      <c r="AM175" s="30">
        <f t="shared" si="100"/>
        <v>0</v>
      </c>
      <c r="AN175" s="30">
        <f t="shared" si="101"/>
        <v>0</v>
      </c>
      <c r="AO175" s="29">
        <f t="shared" si="102"/>
        <v>0</v>
      </c>
      <c r="AP175" s="29">
        <f t="shared" si="103"/>
        <v>0</v>
      </c>
      <c r="AQ175" s="29">
        <f t="shared" si="104"/>
        <v>0</v>
      </c>
      <c r="AR175" s="29">
        <f>IFERROR(E175*'03_Настройки'!$B$4/365*(IF(T175&gt;0,T175*V175*(1+W175)*MAX(0,N175-U175),0)+IF(X175&gt;0,X175*Z175*(1+AA175)*MAX(0,N175-Y175),0)+IF(AB175&gt;0,AB175*AD175*(1+AE175)*MAX(0,N175-AC175),0)),0)</f>
        <v>0</v>
      </c>
      <c r="AS175" s="29">
        <f t="shared" si="105"/>
        <v>0</v>
      </c>
      <c r="AT175" s="31">
        <f t="shared" si="106"/>
        <v>0</v>
      </c>
      <c r="AU175" s="31">
        <f t="shared" si="107"/>
        <v>0</v>
      </c>
      <c r="AV175" s="32">
        <f t="shared" si="108"/>
        <v>0</v>
      </c>
      <c r="AW175" s="29" t="e">
        <f t="shared" si="109"/>
        <v>#VALUE!</v>
      </c>
      <c r="AX175" s="29">
        <f t="shared" si="110"/>
        <v>0</v>
      </c>
      <c r="AY175" s="29" t="e">
        <f t="shared" si="111"/>
        <v>#VALUE!</v>
      </c>
      <c r="AZ175" s="25" t="str">
        <f>IF(AND(A175&lt;&gt;"",B175&lt;&gt;"",C175&lt;&gt;"",D175&gt;0,E175&gt;0,N175&lt;&gt;"",AH175&gt;0,O175="Да",P175="Да",BZ175="ПОЛНО",ABS(AN175-1)&lt;='03_Настройки'!$B$5,IF(T175&gt;0,AND(U175&lt;&gt;"",V175&gt;0),TRUE()),IF(X175&gt;0,AND(Y175&lt;&gt;"",Z175&gt;0),TRUE()),IF(AB175&gt;0,AND(AC175&lt;&gt;"",AD175&gt;0),TRUE()),OR(BM175="",BM175="Активна")),"Да","Нет")</f>
        <v>Нет</v>
      </c>
      <c r="BA175" s="25" t="str">
        <f t="shared" si="112"/>
        <v>Нет</v>
      </c>
      <c r="BB175" s="25" t="str">
        <f t="shared" si="113"/>
        <v/>
      </c>
      <c r="BC175" s="25" t="str">
        <f t="shared" si="114"/>
        <v/>
      </c>
      <c r="BD175" s="25" t="str">
        <f t="shared" si="115"/>
        <v/>
      </c>
      <c r="BE175" s="25" t="str">
        <f>IF(A175="","",IF(BZ175&lt;&gt;"ПОЛНО","BLOCK: неполная форма",IF(O175&lt;&gt;"Да","BLOCK: ввоз не разрешён",IF(P175&lt;&gt;"Да","BLOCK: документы не подтверждены",IF(ABS(AN175-1)&gt;'03_Настройки'!$B$5,"BLOCK: платежи не 100%",IF(AND(BM175&lt;&gt;"",BM175&lt;&gt;"Активна"),"BLOCK: позиция "&amp;BM175,IF(BA175&lt;&gt;"Да","PARTIAL: не покрывает потребность",IF(BB175="ДА","самый дешёвый"&amp;IF(BC175="ДА"," + быстрый","")&amp;IF(BD175="ДА"," + optimal",""),IF(BC175="ДА","самый быстрый"&amp;IF(BD175="ДА"," + optimal",""),IF(BD175="ДА","optimal","Допущен"))))))))))</f>
        <v/>
      </c>
      <c r="BF175" s="25">
        <f>ROW()</f>
        <v>175</v>
      </c>
      <c r="BG175" s="33"/>
      <c r="BH175" s="33"/>
      <c r="BI175" s="33"/>
      <c r="BJ175" s="33"/>
      <c r="BK175" s="33"/>
      <c r="BL175" s="34"/>
      <c r="BM175" s="33"/>
      <c r="BN175" s="35" t="str">
        <f t="shared" si="116"/>
        <v/>
      </c>
      <c r="BO175" s="36" t="str">
        <f t="shared" si="117"/>
        <v/>
      </c>
      <c r="BP175" s="33"/>
      <c r="BQ175" s="38"/>
      <c r="BR175" s="13"/>
      <c r="BS175" s="13"/>
      <c r="BT175" s="13"/>
      <c r="BU175" s="13"/>
      <c r="BV175" s="13"/>
      <c r="BW175" s="13"/>
      <c r="BX175" s="39" t="str">
        <f t="shared" si="118"/>
        <v/>
      </c>
      <c r="BY175" s="47"/>
      <c r="BZ175" s="48" t="str">
        <f t="shared" si="119"/>
        <v/>
      </c>
      <c r="CA175" s="47"/>
      <c r="CB175" s="47"/>
      <c r="CC175" s="47"/>
    </row>
    <row r="176" spans="1:81" ht="14.25" x14ac:dyDescent="0.45">
      <c r="A176" s="10"/>
      <c r="B176" s="10"/>
      <c r="C176" s="10"/>
      <c r="D176" s="10"/>
      <c r="E176" s="10"/>
      <c r="F176" s="10"/>
      <c r="G176" s="10"/>
      <c r="H176" s="25" t="str">
        <f>IFERROR(VLOOKUP(C176,'01_Поставщики'!$A$4:$M$11,2,FALSE()),"")</f>
        <v/>
      </c>
      <c r="I176" s="10"/>
      <c r="J176" s="25" t="str">
        <f>IFERROR(VLOOKUP(C176,'01_Поставщики'!$A$4:$M$11,8,FALSE()),"")</f>
        <v/>
      </c>
      <c r="K176" s="25" t="str">
        <f>IFERROR(VLOOKUP(C176,'01_Поставщики'!$A$4:$M$11,4,FALSE()),"")</f>
        <v/>
      </c>
      <c r="L176" s="25" t="str">
        <f>IFERROR(VLOOKUP(C176,'01_Поставщики'!$A$4:$M$11,10,FALSE()),"")</f>
        <v/>
      </c>
      <c r="M176" s="26" t="str">
        <f>IF(OR(A176="",B176=""),"",IFERROR(SUMIFS('04_Потребность'!$B$4:$B$103,'04_Потребность'!$A$4:$A$103,A176,'04_Потребность'!$C$4:$C$103,B176),0))</f>
        <v/>
      </c>
      <c r="N176" s="11"/>
      <c r="O176" s="10"/>
      <c r="P176" s="10"/>
      <c r="Q176" s="27"/>
      <c r="R176" s="27"/>
      <c r="S176" s="8"/>
      <c r="T176" s="8">
        <f>IFERROR(INDEX('02_Схемы оплаты'!$C$4:$C$19,MATCH($C176&amp;"|"&amp;$G176,'02_Схемы оплаты'!$H$4:$H$19,0)),0)</f>
        <v>0</v>
      </c>
      <c r="U176" s="11"/>
      <c r="V176" s="28"/>
      <c r="W176" s="8"/>
      <c r="X176" s="8">
        <f>IFERROR(INDEX('02_Схемы оплаты'!$D$4:$D$19,MATCH($C176&amp;"|"&amp;$G176,'02_Схемы оплаты'!$H$4:$H$19,0)),0)</f>
        <v>0</v>
      </c>
      <c r="Y176" s="11"/>
      <c r="Z176" s="28"/>
      <c r="AA176" s="8"/>
      <c r="AB176" s="8">
        <f>IFERROR(INDEX('02_Схемы оплаты'!$E$4:$E$19,MATCH($C176&amp;"|"&amp;$G176,'02_Схемы оплаты'!$H$4:$H$19,0)),0)</f>
        <v>0</v>
      </c>
      <c r="AC176" s="11"/>
      <c r="AD176" s="28"/>
      <c r="AE176" s="8"/>
      <c r="AF176" s="10"/>
      <c r="AG176" s="10"/>
      <c r="AH176" s="25">
        <f>IFERROR(SUMIFS('04_Потребность'!$D$4:$D$103,'04_Потребность'!$A$4:$A$103,A176,'04_Потребность'!$C$4:$C$103,B176),0)</f>
        <v>0</v>
      </c>
      <c r="AI176" s="26" t="str">
        <f>IF(OR(A176="",B176=""),"",IFERROR(SUMIFS('04_Потребность'!$E$4:$E$103,'04_Потребность'!$A$4:$A$103,A176,'04_Потребность'!$C$4:$C$103,B176),0))</f>
        <v/>
      </c>
      <c r="AJ176" s="25" t="str">
        <f>IF(OR(A176="",B176=""),"",IFERROR(SUMIFS('04_Потребность'!$F$4:$F$103,'04_Потребность'!$A$4:$A$103,A176,'04_Потребность'!$C$4:$C$103,B176),0))</f>
        <v/>
      </c>
      <c r="AK176" s="29" t="str">
        <f>IF(OR(A176="",B176=""),"",IFERROR(SUMIFS('04_Потребность'!$G$4:$G$103,'04_Потребность'!$A$4:$A$103,A176,'04_Потребность'!$C$4:$C$103,B176),0))</f>
        <v/>
      </c>
      <c r="AL176" s="25" t="str">
        <f>IF('03_Настройки'!$B$7="Нет","Нет",IF(COUNTIFS('04_Потребность'!$A$4:$A$103,A176,'04_Потребность'!$C$4:$C$103,B176,'04_Потребность'!$H$4:$H$103,"Да")&gt;0,"Да","Нет"))</f>
        <v>Нет</v>
      </c>
      <c r="AM176" s="30">
        <f t="shared" si="100"/>
        <v>0</v>
      </c>
      <c r="AN176" s="30">
        <f t="shared" si="101"/>
        <v>0</v>
      </c>
      <c r="AO176" s="29">
        <f t="shared" si="102"/>
        <v>0</v>
      </c>
      <c r="AP176" s="29">
        <f t="shared" si="103"/>
        <v>0</v>
      </c>
      <c r="AQ176" s="29">
        <f t="shared" si="104"/>
        <v>0</v>
      </c>
      <c r="AR176" s="29">
        <f>IFERROR(E176*'03_Настройки'!$B$4/365*(IF(T176&gt;0,T176*V176*(1+W176)*MAX(0,N176-U176),0)+IF(X176&gt;0,X176*Z176*(1+AA176)*MAX(0,N176-Y176),0)+IF(AB176&gt;0,AB176*AD176*(1+AE176)*MAX(0,N176-AC176),0)),0)</f>
        <v>0</v>
      </c>
      <c r="AS176" s="29">
        <f t="shared" si="105"/>
        <v>0</v>
      </c>
      <c r="AT176" s="31">
        <f t="shared" si="106"/>
        <v>0</v>
      </c>
      <c r="AU176" s="31">
        <f t="shared" si="107"/>
        <v>0</v>
      </c>
      <c r="AV176" s="32">
        <f t="shared" si="108"/>
        <v>0</v>
      </c>
      <c r="AW176" s="29" t="e">
        <f t="shared" si="109"/>
        <v>#VALUE!</v>
      </c>
      <c r="AX176" s="29">
        <f t="shared" si="110"/>
        <v>0</v>
      </c>
      <c r="AY176" s="29" t="e">
        <f t="shared" si="111"/>
        <v>#VALUE!</v>
      </c>
      <c r="AZ176" s="25" t="str">
        <f>IF(AND(A176&lt;&gt;"",B176&lt;&gt;"",C176&lt;&gt;"",D176&gt;0,E176&gt;0,N176&lt;&gt;"",AH176&gt;0,O176="Да",P176="Да",BZ176="ПОЛНО",ABS(AN176-1)&lt;='03_Настройки'!$B$5,IF(T176&gt;0,AND(U176&lt;&gt;"",V176&gt;0),TRUE()),IF(X176&gt;0,AND(Y176&lt;&gt;"",Z176&gt;0),TRUE()),IF(AB176&gt;0,AND(AC176&lt;&gt;"",AD176&gt;0),TRUE()),OR(BM176="",BM176="Активна")),"Да","Нет")</f>
        <v>Нет</v>
      </c>
      <c r="BA176" s="25" t="str">
        <f t="shared" si="112"/>
        <v>Нет</v>
      </c>
      <c r="BB176" s="25" t="str">
        <f t="shared" si="113"/>
        <v/>
      </c>
      <c r="BC176" s="25" t="str">
        <f t="shared" si="114"/>
        <v/>
      </c>
      <c r="BD176" s="25" t="str">
        <f t="shared" si="115"/>
        <v/>
      </c>
      <c r="BE176" s="25" t="str">
        <f>IF(A176="","",IF(BZ176&lt;&gt;"ПОЛНО","BLOCK: неполная форма",IF(O176&lt;&gt;"Да","BLOCK: ввоз не разрешён",IF(P176&lt;&gt;"Да","BLOCK: документы не подтверждены",IF(ABS(AN176-1)&gt;'03_Настройки'!$B$5,"BLOCK: платежи не 100%",IF(AND(BM176&lt;&gt;"",BM176&lt;&gt;"Активна"),"BLOCK: позиция "&amp;BM176,IF(BA176&lt;&gt;"Да","PARTIAL: не покрывает потребность",IF(BB176="ДА","самый дешёвый"&amp;IF(BC176="ДА"," + быстрый","")&amp;IF(BD176="ДА"," + optimal",""),IF(BC176="ДА","самый быстрый"&amp;IF(BD176="ДА"," + optimal",""),IF(BD176="ДА","optimal","Допущен"))))))))))</f>
        <v/>
      </c>
      <c r="BF176" s="25">
        <f>ROW()</f>
        <v>176</v>
      </c>
      <c r="BG176" s="33"/>
      <c r="BH176" s="33"/>
      <c r="BI176" s="33"/>
      <c r="BJ176" s="33"/>
      <c r="BK176" s="33"/>
      <c r="BL176" s="34"/>
      <c r="BM176" s="33"/>
      <c r="BN176" s="35" t="str">
        <f t="shared" si="116"/>
        <v/>
      </c>
      <c r="BO176" s="36" t="str">
        <f t="shared" si="117"/>
        <v/>
      </c>
      <c r="BP176" s="33"/>
      <c r="BQ176" s="38"/>
      <c r="BR176" s="13"/>
      <c r="BS176" s="13"/>
      <c r="BT176" s="13"/>
      <c r="BU176" s="13"/>
      <c r="BV176" s="13"/>
      <c r="BW176" s="13"/>
      <c r="BX176" s="39" t="str">
        <f t="shared" si="118"/>
        <v/>
      </c>
      <c r="BY176" s="47"/>
      <c r="BZ176" s="48" t="str">
        <f t="shared" si="119"/>
        <v/>
      </c>
      <c r="CA176" s="47"/>
      <c r="CB176" s="47"/>
      <c r="CC176" s="47"/>
    </row>
    <row r="177" spans="1:81" ht="14.25" x14ac:dyDescent="0.45">
      <c r="A177" s="10"/>
      <c r="B177" s="10"/>
      <c r="C177" s="10"/>
      <c r="D177" s="10"/>
      <c r="E177" s="10"/>
      <c r="F177" s="10"/>
      <c r="G177" s="10"/>
      <c r="H177" s="25" t="str">
        <f>IFERROR(VLOOKUP(C177,'01_Поставщики'!$A$4:$M$11,2,FALSE()),"")</f>
        <v/>
      </c>
      <c r="I177" s="10"/>
      <c r="J177" s="25" t="str">
        <f>IFERROR(VLOOKUP(C177,'01_Поставщики'!$A$4:$M$11,8,FALSE()),"")</f>
        <v/>
      </c>
      <c r="K177" s="25" t="str">
        <f>IFERROR(VLOOKUP(C177,'01_Поставщики'!$A$4:$M$11,4,FALSE()),"")</f>
        <v/>
      </c>
      <c r="L177" s="25" t="str">
        <f>IFERROR(VLOOKUP(C177,'01_Поставщики'!$A$4:$M$11,10,FALSE()),"")</f>
        <v/>
      </c>
      <c r="M177" s="26" t="str">
        <f>IF(OR(A177="",B177=""),"",IFERROR(SUMIFS('04_Потребность'!$B$4:$B$103,'04_Потребность'!$A$4:$A$103,A177,'04_Потребность'!$C$4:$C$103,B177),0))</f>
        <v/>
      </c>
      <c r="N177" s="11"/>
      <c r="O177" s="10"/>
      <c r="P177" s="10"/>
      <c r="Q177" s="27"/>
      <c r="R177" s="27"/>
      <c r="S177" s="8"/>
      <c r="T177" s="8">
        <f>IFERROR(INDEX('02_Схемы оплаты'!$C$4:$C$19,MATCH($C177&amp;"|"&amp;$G177,'02_Схемы оплаты'!$H$4:$H$19,0)),0)</f>
        <v>0</v>
      </c>
      <c r="U177" s="11"/>
      <c r="V177" s="28"/>
      <c r="W177" s="8"/>
      <c r="X177" s="8">
        <f>IFERROR(INDEX('02_Схемы оплаты'!$D$4:$D$19,MATCH($C177&amp;"|"&amp;$G177,'02_Схемы оплаты'!$H$4:$H$19,0)),0)</f>
        <v>0</v>
      </c>
      <c r="Y177" s="11"/>
      <c r="Z177" s="28"/>
      <c r="AA177" s="8"/>
      <c r="AB177" s="8">
        <f>IFERROR(INDEX('02_Схемы оплаты'!$E$4:$E$19,MATCH($C177&amp;"|"&amp;$G177,'02_Схемы оплаты'!$H$4:$H$19,0)),0)</f>
        <v>0</v>
      </c>
      <c r="AC177" s="11"/>
      <c r="AD177" s="28"/>
      <c r="AE177" s="8"/>
      <c r="AF177" s="10"/>
      <c r="AG177" s="10"/>
      <c r="AH177" s="25">
        <f>IFERROR(SUMIFS('04_Потребность'!$D$4:$D$103,'04_Потребность'!$A$4:$A$103,A177,'04_Потребность'!$C$4:$C$103,B177),0)</f>
        <v>0</v>
      </c>
      <c r="AI177" s="26" t="str">
        <f>IF(OR(A177="",B177=""),"",IFERROR(SUMIFS('04_Потребность'!$E$4:$E$103,'04_Потребность'!$A$4:$A$103,A177,'04_Потребность'!$C$4:$C$103,B177),0))</f>
        <v/>
      </c>
      <c r="AJ177" s="25" t="str">
        <f>IF(OR(A177="",B177=""),"",IFERROR(SUMIFS('04_Потребность'!$F$4:$F$103,'04_Потребность'!$A$4:$A$103,A177,'04_Потребность'!$C$4:$C$103,B177),0))</f>
        <v/>
      </c>
      <c r="AK177" s="29" t="str">
        <f>IF(OR(A177="",B177=""),"",IFERROR(SUMIFS('04_Потребность'!$G$4:$G$103,'04_Потребность'!$A$4:$A$103,A177,'04_Потребность'!$C$4:$C$103,B177),0))</f>
        <v/>
      </c>
      <c r="AL177" s="25" t="str">
        <f>IF('03_Настройки'!$B$7="Нет","Нет",IF(COUNTIFS('04_Потребность'!$A$4:$A$103,A177,'04_Потребность'!$C$4:$C$103,B177,'04_Потребность'!$H$4:$H$103,"Да")&gt;0,"Да","Нет"))</f>
        <v>Нет</v>
      </c>
      <c r="AM177" s="30">
        <f t="shared" si="100"/>
        <v>0</v>
      </c>
      <c r="AN177" s="30">
        <f t="shared" si="101"/>
        <v>0</v>
      </c>
      <c r="AO177" s="29">
        <f t="shared" si="102"/>
        <v>0</v>
      </c>
      <c r="AP177" s="29">
        <f t="shared" si="103"/>
        <v>0</v>
      </c>
      <c r="AQ177" s="29">
        <f t="shared" si="104"/>
        <v>0</v>
      </c>
      <c r="AR177" s="29">
        <f>IFERROR(E177*'03_Настройки'!$B$4/365*(IF(T177&gt;0,T177*V177*(1+W177)*MAX(0,N177-U177),0)+IF(X177&gt;0,X177*Z177*(1+AA177)*MAX(0,N177-Y177),0)+IF(AB177&gt;0,AB177*AD177*(1+AE177)*MAX(0,N177-AC177),0)),0)</f>
        <v>0</v>
      </c>
      <c r="AS177" s="29">
        <f t="shared" si="105"/>
        <v>0</v>
      </c>
      <c r="AT177" s="31">
        <f t="shared" si="106"/>
        <v>0</v>
      </c>
      <c r="AU177" s="31">
        <f t="shared" si="107"/>
        <v>0</v>
      </c>
      <c r="AV177" s="32">
        <f t="shared" si="108"/>
        <v>0</v>
      </c>
      <c r="AW177" s="29" t="e">
        <f t="shared" si="109"/>
        <v>#VALUE!</v>
      </c>
      <c r="AX177" s="29">
        <f t="shared" si="110"/>
        <v>0</v>
      </c>
      <c r="AY177" s="29" t="e">
        <f t="shared" si="111"/>
        <v>#VALUE!</v>
      </c>
      <c r="AZ177" s="25" t="str">
        <f>IF(AND(A177&lt;&gt;"",B177&lt;&gt;"",C177&lt;&gt;"",D177&gt;0,E177&gt;0,N177&lt;&gt;"",AH177&gt;0,O177="Да",P177="Да",BZ177="ПОЛНО",ABS(AN177-1)&lt;='03_Настройки'!$B$5,IF(T177&gt;0,AND(U177&lt;&gt;"",V177&gt;0),TRUE()),IF(X177&gt;0,AND(Y177&lt;&gt;"",Z177&gt;0),TRUE()),IF(AB177&gt;0,AND(AC177&lt;&gt;"",AD177&gt;0),TRUE()),OR(BM177="",BM177="Активна")),"Да","Нет")</f>
        <v>Нет</v>
      </c>
      <c r="BA177" s="25" t="str">
        <f t="shared" si="112"/>
        <v>Нет</v>
      </c>
      <c r="BB177" s="25" t="str">
        <f t="shared" si="113"/>
        <v/>
      </c>
      <c r="BC177" s="25" t="str">
        <f t="shared" si="114"/>
        <v/>
      </c>
      <c r="BD177" s="25" t="str">
        <f t="shared" si="115"/>
        <v/>
      </c>
      <c r="BE177" s="25" t="str">
        <f>IF(A177="","",IF(BZ177&lt;&gt;"ПОЛНО","BLOCK: неполная форма",IF(O177&lt;&gt;"Да","BLOCK: ввоз не разрешён",IF(P177&lt;&gt;"Да","BLOCK: документы не подтверждены",IF(ABS(AN177-1)&gt;'03_Настройки'!$B$5,"BLOCK: платежи не 100%",IF(AND(BM177&lt;&gt;"",BM177&lt;&gt;"Активна"),"BLOCK: позиция "&amp;BM177,IF(BA177&lt;&gt;"Да","PARTIAL: не покрывает потребность",IF(BB177="ДА","самый дешёвый"&amp;IF(BC177="ДА"," + быстрый","")&amp;IF(BD177="ДА"," + optimal",""),IF(BC177="ДА","самый быстрый"&amp;IF(BD177="ДА"," + optimal",""),IF(BD177="ДА","optimal","Допущен"))))))))))</f>
        <v/>
      </c>
      <c r="BF177" s="25">
        <f>ROW()</f>
        <v>177</v>
      </c>
      <c r="BG177" s="33"/>
      <c r="BH177" s="33"/>
      <c r="BI177" s="33"/>
      <c r="BJ177" s="33"/>
      <c r="BK177" s="33"/>
      <c r="BL177" s="34"/>
      <c r="BM177" s="33"/>
      <c r="BN177" s="35" t="str">
        <f t="shared" si="116"/>
        <v/>
      </c>
      <c r="BO177" s="36" t="str">
        <f t="shared" si="117"/>
        <v/>
      </c>
      <c r="BP177" s="33"/>
      <c r="BQ177" s="38"/>
      <c r="BR177" s="13"/>
      <c r="BS177" s="13"/>
      <c r="BT177" s="13"/>
      <c r="BU177" s="13"/>
      <c r="BV177" s="13"/>
      <c r="BW177" s="13"/>
      <c r="BX177" s="39" t="str">
        <f t="shared" si="118"/>
        <v/>
      </c>
      <c r="BY177" s="47"/>
      <c r="BZ177" s="48" t="str">
        <f t="shared" si="119"/>
        <v/>
      </c>
      <c r="CA177" s="47"/>
      <c r="CB177" s="47"/>
      <c r="CC177" s="47"/>
    </row>
    <row r="178" spans="1:81" ht="14.25" x14ac:dyDescent="0.45">
      <c r="A178" s="10"/>
      <c r="B178" s="10"/>
      <c r="C178" s="10"/>
      <c r="D178" s="10"/>
      <c r="E178" s="10"/>
      <c r="F178" s="10"/>
      <c r="G178" s="10"/>
      <c r="H178" s="25" t="str">
        <f>IFERROR(VLOOKUP(C178,'01_Поставщики'!$A$4:$M$11,2,FALSE()),"")</f>
        <v/>
      </c>
      <c r="I178" s="10"/>
      <c r="J178" s="25" t="str">
        <f>IFERROR(VLOOKUP(C178,'01_Поставщики'!$A$4:$M$11,8,FALSE()),"")</f>
        <v/>
      </c>
      <c r="K178" s="25" t="str">
        <f>IFERROR(VLOOKUP(C178,'01_Поставщики'!$A$4:$M$11,4,FALSE()),"")</f>
        <v/>
      </c>
      <c r="L178" s="25" t="str">
        <f>IFERROR(VLOOKUP(C178,'01_Поставщики'!$A$4:$M$11,10,FALSE()),"")</f>
        <v/>
      </c>
      <c r="M178" s="26" t="str">
        <f>IF(OR(A178="",B178=""),"",IFERROR(SUMIFS('04_Потребность'!$B$4:$B$103,'04_Потребность'!$A$4:$A$103,A178,'04_Потребность'!$C$4:$C$103,B178),0))</f>
        <v/>
      </c>
      <c r="N178" s="11"/>
      <c r="O178" s="10"/>
      <c r="P178" s="10"/>
      <c r="Q178" s="27"/>
      <c r="R178" s="27"/>
      <c r="S178" s="8"/>
      <c r="T178" s="8">
        <f>IFERROR(INDEX('02_Схемы оплаты'!$C$4:$C$19,MATCH($C178&amp;"|"&amp;$G178,'02_Схемы оплаты'!$H$4:$H$19,0)),0)</f>
        <v>0</v>
      </c>
      <c r="U178" s="11"/>
      <c r="V178" s="28"/>
      <c r="W178" s="8"/>
      <c r="X178" s="8">
        <f>IFERROR(INDEX('02_Схемы оплаты'!$D$4:$D$19,MATCH($C178&amp;"|"&amp;$G178,'02_Схемы оплаты'!$H$4:$H$19,0)),0)</f>
        <v>0</v>
      </c>
      <c r="Y178" s="11"/>
      <c r="Z178" s="28"/>
      <c r="AA178" s="8"/>
      <c r="AB178" s="8">
        <f>IFERROR(INDEX('02_Схемы оплаты'!$E$4:$E$19,MATCH($C178&amp;"|"&amp;$G178,'02_Схемы оплаты'!$H$4:$H$19,0)),0)</f>
        <v>0</v>
      </c>
      <c r="AC178" s="11"/>
      <c r="AD178" s="28"/>
      <c r="AE178" s="8"/>
      <c r="AF178" s="10"/>
      <c r="AG178" s="10"/>
      <c r="AH178" s="25">
        <f>IFERROR(SUMIFS('04_Потребность'!$D$4:$D$103,'04_Потребность'!$A$4:$A$103,A178,'04_Потребность'!$C$4:$C$103,B178),0)</f>
        <v>0</v>
      </c>
      <c r="AI178" s="26" t="str">
        <f>IF(OR(A178="",B178=""),"",IFERROR(SUMIFS('04_Потребность'!$E$4:$E$103,'04_Потребность'!$A$4:$A$103,A178,'04_Потребность'!$C$4:$C$103,B178),0))</f>
        <v/>
      </c>
      <c r="AJ178" s="25" t="str">
        <f>IF(OR(A178="",B178=""),"",IFERROR(SUMIFS('04_Потребность'!$F$4:$F$103,'04_Потребность'!$A$4:$A$103,A178,'04_Потребность'!$C$4:$C$103,B178),0))</f>
        <v/>
      </c>
      <c r="AK178" s="29" t="str">
        <f>IF(OR(A178="",B178=""),"",IFERROR(SUMIFS('04_Потребность'!$G$4:$G$103,'04_Потребность'!$A$4:$A$103,A178,'04_Потребность'!$C$4:$C$103,B178),0))</f>
        <v/>
      </c>
      <c r="AL178" s="25" t="str">
        <f>IF('03_Настройки'!$B$7="Нет","Нет",IF(COUNTIFS('04_Потребность'!$A$4:$A$103,A178,'04_Потребность'!$C$4:$C$103,B178,'04_Потребность'!$H$4:$H$103,"Да")&gt;0,"Да","Нет"))</f>
        <v>Нет</v>
      </c>
      <c r="AM178" s="30">
        <f t="shared" si="100"/>
        <v>0</v>
      </c>
      <c r="AN178" s="30">
        <f t="shared" si="101"/>
        <v>0</v>
      </c>
      <c r="AO178" s="29">
        <f t="shared" si="102"/>
        <v>0</v>
      </c>
      <c r="AP178" s="29">
        <f t="shared" si="103"/>
        <v>0</v>
      </c>
      <c r="AQ178" s="29">
        <f t="shared" si="104"/>
        <v>0</v>
      </c>
      <c r="AR178" s="29">
        <f>IFERROR(E178*'03_Настройки'!$B$4/365*(IF(T178&gt;0,T178*V178*(1+W178)*MAX(0,N178-U178),0)+IF(X178&gt;0,X178*Z178*(1+AA178)*MAX(0,N178-Y178),0)+IF(AB178&gt;0,AB178*AD178*(1+AE178)*MAX(0,N178-AC178),0)),0)</f>
        <v>0</v>
      </c>
      <c r="AS178" s="29">
        <f t="shared" si="105"/>
        <v>0</v>
      </c>
      <c r="AT178" s="31">
        <f t="shared" si="106"/>
        <v>0</v>
      </c>
      <c r="AU178" s="31">
        <f t="shared" si="107"/>
        <v>0</v>
      </c>
      <c r="AV178" s="32">
        <f t="shared" si="108"/>
        <v>0</v>
      </c>
      <c r="AW178" s="29" t="e">
        <f t="shared" si="109"/>
        <v>#VALUE!</v>
      </c>
      <c r="AX178" s="29">
        <f t="shared" si="110"/>
        <v>0</v>
      </c>
      <c r="AY178" s="29" t="e">
        <f t="shared" si="111"/>
        <v>#VALUE!</v>
      </c>
      <c r="AZ178" s="25" t="str">
        <f>IF(AND(A178&lt;&gt;"",B178&lt;&gt;"",C178&lt;&gt;"",D178&gt;0,E178&gt;0,N178&lt;&gt;"",AH178&gt;0,O178="Да",P178="Да",BZ178="ПОЛНО",ABS(AN178-1)&lt;='03_Настройки'!$B$5,IF(T178&gt;0,AND(U178&lt;&gt;"",V178&gt;0),TRUE()),IF(X178&gt;0,AND(Y178&lt;&gt;"",Z178&gt;0),TRUE()),IF(AB178&gt;0,AND(AC178&lt;&gt;"",AD178&gt;0),TRUE()),OR(BM178="",BM178="Активна")),"Да","Нет")</f>
        <v>Нет</v>
      </c>
      <c r="BA178" s="25" t="str">
        <f t="shared" si="112"/>
        <v>Нет</v>
      </c>
      <c r="BB178" s="25" t="str">
        <f t="shared" si="113"/>
        <v/>
      </c>
      <c r="BC178" s="25" t="str">
        <f t="shared" si="114"/>
        <v/>
      </c>
      <c r="BD178" s="25" t="str">
        <f t="shared" si="115"/>
        <v/>
      </c>
      <c r="BE178" s="25" t="str">
        <f>IF(A178="","",IF(BZ178&lt;&gt;"ПОЛНО","BLOCK: неполная форма",IF(O178&lt;&gt;"Да","BLOCK: ввоз не разрешён",IF(P178&lt;&gt;"Да","BLOCK: документы не подтверждены",IF(ABS(AN178-1)&gt;'03_Настройки'!$B$5,"BLOCK: платежи не 100%",IF(AND(BM178&lt;&gt;"",BM178&lt;&gt;"Активна"),"BLOCK: позиция "&amp;BM178,IF(BA178&lt;&gt;"Да","PARTIAL: не покрывает потребность",IF(BB178="ДА","самый дешёвый"&amp;IF(BC178="ДА"," + быстрый","")&amp;IF(BD178="ДА"," + optimal",""),IF(BC178="ДА","самый быстрый"&amp;IF(BD178="ДА"," + optimal",""),IF(BD178="ДА","optimal","Допущен"))))))))))</f>
        <v/>
      </c>
      <c r="BF178" s="25">
        <f>ROW()</f>
        <v>178</v>
      </c>
      <c r="BG178" s="33"/>
      <c r="BH178" s="33"/>
      <c r="BI178" s="33"/>
      <c r="BJ178" s="33"/>
      <c r="BK178" s="33"/>
      <c r="BL178" s="34"/>
      <c r="BM178" s="33"/>
      <c r="BN178" s="35" t="str">
        <f t="shared" si="116"/>
        <v/>
      </c>
      <c r="BO178" s="36" t="str">
        <f t="shared" si="117"/>
        <v/>
      </c>
      <c r="BP178" s="33"/>
      <c r="BQ178" s="38"/>
      <c r="BR178" s="13"/>
      <c r="BS178" s="13"/>
      <c r="BT178" s="13"/>
      <c r="BU178" s="13"/>
      <c r="BV178" s="13"/>
      <c r="BW178" s="13"/>
      <c r="BX178" s="39" t="str">
        <f t="shared" si="118"/>
        <v/>
      </c>
      <c r="BY178" s="47"/>
      <c r="BZ178" s="48" t="str">
        <f t="shared" si="119"/>
        <v/>
      </c>
      <c r="CA178" s="47"/>
      <c r="CB178" s="47"/>
      <c r="CC178" s="47"/>
    </row>
    <row r="179" spans="1:81" ht="14.25" x14ac:dyDescent="0.45">
      <c r="A179" s="10"/>
      <c r="B179" s="10"/>
      <c r="C179" s="10"/>
      <c r="D179" s="10"/>
      <c r="E179" s="10"/>
      <c r="F179" s="10"/>
      <c r="G179" s="10"/>
      <c r="H179" s="25" t="str">
        <f>IFERROR(VLOOKUP(C179,'01_Поставщики'!$A$4:$M$11,2,FALSE()),"")</f>
        <v/>
      </c>
      <c r="I179" s="10"/>
      <c r="J179" s="25" t="str">
        <f>IFERROR(VLOOKUP(C179,'01_Поставщики'!$A$4:$M$11,8,FALSE()),"")</f>
        <v/>
      </c>
      <c r="K179" s="25" t="str">
        <f>IFERROR(VLOOKUP(C179,'01_Поставщики'!$A$4:$M$11,4,FALSE()),"")</f>
        <v/>
      </c>
      <c r="L179" s="25" t="str">
        <f>IFERROR(VLOOKUP(C179,'01_Поставщики'!$A$4:$M$11,10,FALSE()),"")</f>
        <v/>
      </c>
      <c r="M179" s="26" t="str">
        <f>IF(OR(A179="",B179=""),"",IFERROR(SUMIFS('04_Потребность'!$B$4:$B$103,'04_Потребность'!$A$4:$A$103,A179,'04_Потребность'!$C$4:$C$103,B179),0))</f>
        <v/>
      </c>
      <c r="N179" s="11"/>
      <c r="O179" s="10"/>
      <c r="P179" s="10"/>
      <c r="Q179" s="27"/>
      <c r="R179" s="27"/>
      <c r="S179" s="8"/>
      <c r="T179" s="8">
        <f>IFERROR(INDEX('02_Схемы оплаты'!$C$4:$C$19,MATCH($C179&amp;"|"&amp;$G179,'02_Схемы оплаты'!$H$4:$H$19,0)),0)</f>
        <v>0</v>
      </c>
      <c r="U179" s="11"/>
      <c r="V179" s="28"/>
      <c r="W179" s="8"/>
      <c r="X179" s="8">
        <f>IFERROR(INDEX('02_Схемы оплаты'!$D$4:$D$19,MATCH($C179&amp;"|"&amp;$G179,'02_Схемы оплаты'!$H$4:$H$19,0)),0)</f>
        <v>0</v>
      </c>
      <c r="Y179" s="11"/>
      <c r="Z179" s="28"/>
      <c r="AA179" s="8"/>
      <c r="AB179" s="8">
        <f>IFERROR(INDEX('02_Схемы оплаты'!$E$4:$E$19,MATCH($C179&amp;"|"&amp;$G179,'02_Схемы оплаты'!$H$4:$H$19,0)),0)</f>
        <v>0</v>
      </c>
      <c r="AC179" s="11"/>
      <c r="AD179" s="28"/>
      <c r="AE179" s="8"/>
      <c r="AF179" s="10"/>
      <c r="AG179" s="10"/>
      <c r="AH179" s="25">
        <f>IFERROR(SUMIFS('04_Потребность'!$D$4:$D$103,'04_Потребность'!$A$4:$A$103,A179,'04_Потребность'!$C$4:$C$103,B179),0)</f>
        <v>0</v>
      </c>
      <c r="AI179" s="26" t="str">
        <f>IF(OR(A179="",B179=""),"",IFERROR(SUMIFS('04_Потребность'!$E$4:$E$103,'04_Потребность'!$A$4:$A$103,A179,'04_Потребность'!$C$4:$C$103,B179),0))</f>
        <v/>
      </c>
      <c r="AJ179" s="25" t="str">
        <f>IF(OR(A179="",B179=""),"",IFERROR(SUMIFS('04_Потребность'!$F$4:$F$103,'04_Потребность'!$A$4:$A$103,A179,'04_Потребность'!$C$4:$C$103,B179),0))</f>
        <v/>
      </c>
      <c r="AK179" s="29" t="str">
        <f>IF(OR(A179="",B179=""),"",IFERROR(SUMIFS('04_Потребность'!$G$4:$G$103,'04_Потребность'!$A$4:$A$103,A179,'04_Потребность'!$C$4:$C$103,B179),0))</f>
        <v/>
      </c>
      <c r="AL179" s="25" t="str">
        <f>IF('03_Настройки'!$B$7="Нет","Нет",IF(COUNTIFS('04_Потребность'!$A$4:$A$103,A179,'04_Потребность'!$C$4:$C$103,B179,'04_Потребность'!$H$4:$H$103,"Да")&gt;0,"Да","Нет"))</f>
        <v>Нет</v>
      </c>
      <c r="AM179" s="30">
        <f t="shared" si="100"/>
        <v>0</v>
      </c>
      <c r="AN179" s="30">
        <f t="shared" si="101"/>
        <v>0</v>
      </c>
      <c r="AO179" s="29">
        <f t="shared" si="102"/>
        <v>0</v>
      </c>
      <c r="AP179" s="29">
        <f t="shared" si="103"/>
        <v>0</v>
      </c>
      <c r="AQ179" s="29">
        <f t="shared" si="104"/>
        <v>0</v>
      </c>
      <c r="AR179" s="29">
        <f>IFERROR(E179*'03_Настройки'!$B$4/365*(IF(T179&gt;0,T179*V179*(1+W179)*MAX(0,N179-U179),0)+IF(X179&gt;0,X179*Z179*(1+AA179)*MAX(0,N179-Y179),0)+IF(AB179&gt;0,AB179*AD179*(1+AE179)*MAX(0,N179-AC179),0)),0)</f>
        <v>0</v>
      </c>
      <c r="AS179" s="29">
        <f t="shared" si="105"/>
        <v>0</v>
      </c>
      <c r="AT179" s="31">
        <f t="shared" si="106"/>
        <v>0</v>
      </c>
      <c r="AU179" s="31">
        <f t="shared" si="107"/>
        <v>0</v>
      </c>
      <c r="AV179" s="32">
        <f t="shared" si="108"/>
        <v>0</v>
      </c>
      <c r="AW179" s="29" t="e">
        <f t="shared" si="109"/>
        <v>#VALUE!</v>
      </c>
      <c r="AX179" s="29">
        <f t="shared" si="110"/>
        <v>0</v>
      </c>
      <c r="AY179" s="29" t="e">
        <f t="shared" si="111"/>
        <v>#VALUE!</v>
      </c>
      <c r="AZ179" s="25" t="str">
        <f>IF(AND(A179&lt;&gt;"",B179&lt;&gt;"",C179&lt;&gt;"",D179&gt;0,E179&gt;0,N179&lt;&gt;"",AH179&gt;0,O179="Да",P179="Да",BZ179="ПОЛНО",ABS(AN179-1)&lt;='03_Настройки'!$B$5,IF(T179&gt;0,AND(U179&lt;&gt;"",V179&gt;0),TRUE()),IF(X179&gt;0,AND(Y179&lt;&gt;"",Z179&gt;0),TRUE()),IF(AB179&gt;0,AND(AC179&lt;&gt;"",AD179&gt;0),TRUE()),OR(BM179="",BM179="Активна")),"Да","Нет")</f>
        <v>Нет</v>
      </c>
      <c r="BA179" s="25" t="str">
        <f t="shared" si="112"/>
        <v>Нет</v>
      </c>
      <c r="BB179" s="25" t="str">
        <f t="shared" si="113"/>
        <v/>
      </c>
      <c r="BC179" s="25" t="str">
        <f t="shared" si="114"/>
        <v/>
      </c>
      <c r="BD179" s="25" t="str">
        <f t="shared" si="115"/>
        <v/>
      </c>
      <c r="BE179" s="25" t="str">
        <f>IF(A179="","",IF(BZ179&lt;&gt;"ПОЛНО","BLOCK: неполная форма",IF(O179&lt;&gt;"Да","BLOCK: ввоз не разрешён",IF(P179&lt;&gt;"Да","BLOCK: документы не подтверждены",IF(ABS(AN179-1)&gt;'03_Настройки'!$B$5,"BLOCK: платежи не 100%",IF(AND(BM179&lt;&gt;"",BM179&lt;&gt;"Активна"),"BLOCK: позиция "&amp;BM179,IF(BA179&lt;&gt;"Да","PARTIAL: не покрывает потребность",IF(BB179="ДА","самый дешёвый"&amp;IF(BC179="ДА"," + быстрый","")&amp;IF(BD179="ДА"," + optimal",""),IF(BC179="ДА","самый быстрый"&amp;IF(BD179="ДА"," + optimal",""),IF(BD179="ДА","optimal","Допущен"))))))))))</f>
        <v/>
      </c>
      <c r="BF179" s="25">
        <f>ROW()</f>
        <v>179</v>
      </c>
      <c r="BG179" s="33"/>
      <c r="BH179" s="33"/>
      <c r="BI179" s="33"/>
      <c r="BJ179" s="33"/>
      <c r="BK179" s="33"/>
      <c r="BL179" s="34"/>
      <c r="BM179" s="33"/>
      <c r="BN179" s="35" t="str">
        <f t="shared" si="116"/>
        <v/>
      </c>
      <c r="BO179" s="36" t="str">
        <f t="shared" si="117"/>
        <v/>
      </c>
      <c r="BP179" s="33"/>
      <c r="BQ179" s="38"/>
      <c r="BR179" s="13"/>
      <c r="BS179" s="13"/>
      <c r="BT179" s="13"/>
      <c r="BU179" s="13"/>
      <c r="BV179" s="13"/>
      <c r="BW179" s="13"/>
      <c r="BX179" s="39" t="str">
        <f t="shared" si="118"/>
        <v/>
      </c>
      <c r="BY179" s="47"/>
      <c r="BZ179" s="48" t="str">
        <f t="shared" si="119"/>
        <v/>
      </c>
      <c r="CA179" s="47"/>
      <c r="CB179" s="47"/>
      <c r="CC179" s="47"/>
    </row>
    <row r="180" spans="1:81" ht="14.25" x14ac:dyDescent="0.45">
      <c r="A180" s="10"/>
      <c r="B180" s="10"/>
      <c r="C180" s="10"/>
      <c r="D180" s="10"/>
      <c r="E180" s="10"/>
      <c r="F180" s="10"/>
      <c r="G180" s="10"/>
      <c r="H180" s="25" t="str">
        <f>IFERROR(VLOOKUP(C180,'01_Поставщики'!$A$4:$M$11,2,FALSE()),"")</f>
        <v/>
      </c>
      <c r="I180" s="10"/>
      <c r="J180" s="25" t="str">
        <f>IFERROR(VLOOKUP(C180,'01_Поставщики'!$A$4:$M$11,8,FALSE()),"")</f>
        <v/>
      </c>
      <c r="K180" s="25" t="str">
        <f>IFERROR(VLOOKUP(C180,'01_Поставщики'!$A$4:$M$11,4,FALSE()),"")</f>
        <v/>
      </c>
      <c r="L180" s="25" t="str">
        <f>IFERROR(VLOOKUP(C180,'01_Поставщики'!$A$4:$M$11,10,FALSE()),"")</f>
        <v/>
      </c>
      <c r="M180" s="26" t="str">
        <f>IF(OR(A180="",B180=""),"",IFERROR(SUMIFS('04_Потребность'!$B$4:$B$103,'04_Потребность'!$A$4:$A$103,A180,'04_Потребность'!$C$4:$C$103,B180),0))</f>
        <v/>
      </c>
      <c r="N180" s="11"/>
      <c r="O180" s="10"/>
      <c r="P180" s="10"/>
      <c r="Q180" s="27"/>
      <c r="R180" s="27"/>
      <c r="S180" s="8"/>
      <c r="T180" s="8">
        <f>IFERROR(INDEX('02_Схемы оплаты'!$C$4:$C$19,MATCH($C180&amp;"|"&amp;$G180,'02_Схемы оплаты'!$H$4:$H$19,0)),0)</f>
        <v>0</v>
      </c>
      <c r="U180" s="11"/>
      <c r="V180" s="28"/>
      <c r="W180" s="8"/>
      <c r="X180" s="8">
        <f>IFERROR(INDEX('02_Схемы оплаты'!$D$4:$D$19,MATCH($C180&amp;"|"&amp;$G180,'02_Схемы оплаты'!$H$4:$H$19,0)),0)</f>
        <v>0</v>
      </c>
      <c r="Y180" s="11"/>
      <c r="Z180" s="28"/>
      <c r="AA180" s="8"/>
      <c r="AB180" s="8">
        <f>IFERROR(INDEX('02_Схемы оплаты'!$E$4:$E$19,MATCH($C180&amp;"|"&amp;$G180,'02_Схемы оплаты'!$H$4:$H$19,0)),0)</f>
        <v>0</v>
      </c>
      <c r="AC180" s="11"/>
      <c r="AD180" s="28"/>
      <c r="AE180" s="8"/>
      <c r="AF180" s="10"/>
      <c r="AG180" s="10"/>
      <c r="AH180" s="25">
        <f>IFERROR(SUMIFS('04_Потребность'!$D$4:$D$103,'04_Потребность'!$A$4:$A$103,A180,'04_Потребность'!$C$4:$C$103,B180),0)</f>
        <v>0</v>
      </c>
      <c r="AI180" s="26" t="str">
        <f>IF(OR(A180="",B180=""),"",IFERROR(SUMIFS('04_Потребность'!$E$4:$E$103,'04_Потребность'!$A$4:$A$103,A180,'04_Потребность'!$C$4:$C$103,B180),0))</f>
        <v/>
      </c>
      <c r="AJ180" s="25" t="str">
        <f>IF(OR(A180="",B180=""),"",IFERROR(SUMIFS('04_Потребность'!$F$4:$F$103,'04_Потребность'!$A$4:$A$103,A180,'04_Потребность'!$C$4:$C$103,B180),0))</f>
        <v/>
      </c>
      <c r="AK180" s="29" t="str">
        <f>IF(OR(A180="",B180=""),"",IFERROR(SUMIFS('04_Потребность'!$G$4:$G$103,'04_Потребность'!$A$4:$A$103,A180,'04_Потребность'!$C$4:$C$103,B180),0))</f>
        <v/>
      </c>
      <c r="AL180" s="25" t="str">
        <f>IF('03_Настройки'!$B$7="Нет","Нет",IF(COUNTIFS('04_Потребность'!$A$4:$A$103,A180,'04_Потребность'!$C$4:$C$103,B180,'04_Потребность'!$H$4:$H$103,"Да")&gt;0,"Да","Нет"))</f>
        <v>Нет</v>
      </c>
      <c r="AM180" s="30">
        <f t="shared" si="100"/>
        <v>0</v>
      </c>
      <c r="AN180" s="30">
        <f t="shared" si="101"/>
        <v>0</v>
      </c>
      <c r="AO180" s="29">
        <f t="shared" si="102"/>
        <v>0</v>
      </c>
      <c r="AP180" s="29">
        <f t="shared" si="103"/>
        <v>0</v>
      </c>
      <c r="AQ180" s="29">
        <f t="shared" si="104"/>
        <v>0</v>
      </c>
      <c r="AR180" s="29">
        <f>IFERROR(E180*'03_Настройки'!$B$4/365*(IF(T180&gt;0,T180*V180*(1+W180)*MAX(0,N180-U180),0)+IF(X180&gt;0,X180*Z180*(1+AA180)*MAX(0,N180-Y180),0)+IF(AB180&gt;0,AB180*AD180*(1+AE180)*MAX(0,N180-AC180),0)),0)</f>
        <v>0</v>
      </c>
      <c r="AS180" s="29">
        <f t="shared" si="105"/>
        <v>0</v>
      </c>
      <c r="AT180" s="31">
        <f t="shared" si="106"/>
        <v>0</v>
      </c>
      <c r="AU180" s="31">
        <f t="shared" si="107"/>
        <v>0</v>
      </c>
      <c r="AV180" s="32">
        <f t="shared" si="108"/>
        <v>0</v>
      </c>
      <c r="AW180" s="29" t="e">
        <f t="shared" si="109"/>
        <v>#VALUE!</v>
      </c>
      <c r="AX180" s="29">
        <f t="shared" si="110"/>
        <v>0</v>
      </c>
      <c r="AY180" s="29" t="e">
        <f t="shared" si="111"/>
        <v>#VALUE!</v>
      </c>
      <c r="AZ180" s="25" t="str">
        <f>IF(AND(A180&lt;&gt;"",B180&lt;&gt;"",C180&lt;&gt;"",D180&gt;0,E180&gt;0,N180&lt;&gt;"",AH180&gt;0,O180="Да",P180="Да",BZ180="ПОЛНО",ABS(AN180-1)&lt;='03_Настройки'!$B$5,IF(T180&gt;0,AND(U180&lt;&gt;"",V180&gt;0),TRUE()),IF(X180&gt;0,AND(Y180&lt;&gt;"",Z180&gt;0),TRUE()),IF(AB180&gt;0,AND(AC180&lt;&gt;"",AD180&gt;0),TRUE()),OR(BM180="",BM180="Активна")),"Да","Нет")</f>
        <v>Нет</v>
      </c>
      <c r="BA180" s="25" t="str">
        <f t="shared" si="112"/>
        <v>Нет</v>
      </c>
      <c r="BB180" s="25" t="str">
        <f t="shared" si="113"/>
        <v/>
      </c>
      <c r="BC180" s="25" t="str">
        <f t="shared" si="114"/>
        <v/>
      </c>
      <c r="BD180" s="25" t="str">
        <f t="shared" si="115"/>
        <v/>
      </c>
      <c r="BE180" s="25" t="str">
        <f>IF(A180="","",IF(BZ180&lt;&gt;"ПОЛНО","BLOCK: неполная форма",IF(O180&lt;&gt;"Да","BLOCK: ввоз не разрешён",IF(P180&lt;&gt;"Да","BLOCK: документы не подтверждены",IF(ABS(AN180-1)&gt;'03_Настройки'!$B$5,"BLOCK: платежи не 100%",IF(AND(BM180&lt;&gt;"",BM180&lt;&gt;"Активна"),"BLOCK: позиция "&amp;BM180,IF(BA180&lt;&gt;"Да","PARTIAL: не покрывает потребность",IF(BB180="ДА","самый дешёвый"&amp;IF(BC180="ДА"," + быстрый","")&amp;IF(BD180="ДА"," + optimal",""),IF(BC180="ДА","самый быстрый"&amp;IF(BD180="ДА"," + optimal",""),IF(BD180="ДА","optimal","Допущен"))))))))))</f>
        <v/>
      </c>
      <c r="BF180" s="25">
        <f>ROW()</f>
        <v>180</v>
      </c>
      <c r="BG180" s="33"/>
      <c r="BH180" s="33"/>
      <c r="BI180" s="33"/>
      <c r="BJ180" s="33"/>
      <c r="BK180" s="33"/>
      <c r="BL180" s="34"/>
      <c r="BM180" s="33"/>
      <c r="BN180" s="35" t="str">
        <f t="shared" si="116"/>
        <v/>
      </c>
      <c r="BO180" s="36" t="str">
        <f t="shared" si="117"/>
        <v/>
      </c>
      <c r="BP180" s="33"/>
      <c r="BQ180" s="38"/>
      <c r="BR180" s="13"/>
      <c r="BS180" s="13"/>
      <c r="BT180" s="13"/>
      <c r="BU180" s="13"/>
      <c r="BV180" s="13"/>
      <c r="BW180" s="13"/>
      <c r="BX180" s="39" t="str">
        <f t="shared" si="118"/>
        <v/>
      </c>
      <c r="BY180" s="47"/>
      <c r="BZ180" s="48" t="str">
        <f t="shared" si="119"/>
        <v/>
      </c>
      <c r="CA180" s="47"/>
      <c r="CB180" s="47"/>
      <c r="CC180" s="47"/>
    </row>
    <row r="181" spans="1:81" ht="14.25" x14ac:dyDescent="0.45">
      <c r="A181" s="10"/>
      <c r="B181" s="10"/>
      <c r="C181" s="10"/>
      <c r="D181" s="10"/>
      <c r="E181" s="10"/>
      <c r="F181" s="10"/>
      <c r="G181" s="10"/>
      <c r="H181" s="25" t="str">
        <f>IFERROR(VLOOKUP(C181,'01_Поставщики'!$A$4:$M$11,2,FALSE()),"")</f>
        <v/>
      </c>
      <c r="I181" s="10"/>
      <c r="J181" s="25" t="str">
        <f>IFERROR(VLOOKUP(C181,'01_Поставщики'!$A$4:$M$11,8,FALSE()),"")</f>
        <v/>
      </c>
      <c r="K181" s="25" t="str">
        <f>IFERROR(VLOOKUP(C181,'01_Поставщики'!$A$4:$M$11,4,FALSE()),"")</f>
        <v/>
      </c>
      <c r="L181" s="25" t="str">
        <f>IFERROR(VLOOKUP(C181,'01_Поставщики'!$A$4:$M$11,10,FALSE()),"")</f>
        <v/>
      </c>
      <c r="M181" s="26" t="str">
        <f>IF(OR(A181="",B181=""),"",IFERROR(SUMIFS('04_Потребность'!$B$4:$B$103,'04_Потребность'!$A$4:$A$103,A181,'04_Потребность'!$C$4:$C$103,B181),0))</f>
        <v/>
      </c>
      <c r="N181" s="11"/>
      <c r="O181" s="10"/>
      <c r="P181" s="10"/>
      <c r="Q181" s="27"/>
      <c r="R181" s="27"/>
      <c r="S181" s="8"/>
      <c r="T181" s="8">
        <f>IFERROR(INDEX('02_Схемы оплаты'!$C$4:$C$19,MATCH($C181&amp;"|"&amp;$G181,'02_Схемы оплаты'!$H$4:$H$19,0)),0)</f>
        <v>0</v>
      </c>
      <c r="U181" s="11"/>
      <c r="V181" s="28"/>
      <c r="W181" s="8"/>
      <c r="X181" s="8">
        <f>IFERROR(INDEX('02_Схемы оплаты'!$D$4:$D$19,MATCH($C181&amp;"|"&amp;$G181,'02_Схемы оплаты'!$H$4:$H$19,0)),0)</f>
        <v>0</v>
      </c>
      <c r="Y181" s="11"/>
      <c r="Z181" s="28"/>
      <c r="AA181" s="8"/>
      <c r="AB181" s="8">
        <f>IFERROR(INDEX('02_Схемы оплаты'!$E$4:$E$19,MATCH($C181&amp;"|"&amp;$G181,'02_Схемы оплаты'!$H$4:$H$19,0)),0)</f>
        <v>0</v>
      </c>
      <c r="AC181" s="11"/>
      <c r="AD181" s="28"/>
      <c r="AE181" s="8"/>
      <c r="AF181" s="10"/>
      <c r="AG181" s="10"/>
      <c r="AH181" s="25">
        <f>IFERROR(SUMIFS('04_Потребность'!$D$4:$D$103,'04_Потребность'!$A$4:$A$103,A181,'04_Потребность'!$C$4:$C$103,B181),0)</f>
        <v>0</v>
      </c>
      <c r="AI181" s="26" t="str">
        <f>IF(OR(A181="",B181=""),"",IFERROR(SUMIFS('04_Потребность'!$E$4:$E$103,'04_Потребность'!$A$4:$A$103,A181,'04_Потребность'!$C$4:$C$103,B181),0))</f>
        <v/>
      </c>
      <c r="AJ181" s="25" t="str">
        <f>IF(OR(A181="",B181=""),"",IFERROR(SUMIFS('04_Потребность'!$F$4:$F$103,'04_Потребность'!$A$4:$A$103,A181,'04_Потребность'!$C$4:$C$103,B181),0))</f>
        <v/>
      </c>
      <c r="AK181" s="29" t="str">
        <f>IF(OR(A181="",B181=""),"",IFERROR(SUMIFS('04_Потребность'!$G$4:$G$103,'04_Потребность'!$A$4:$A$103,A181,'04_Потребность'!$C$4:$C$103,B181),0))</f>
        <v/>
      </c>
      <c r="AL181" s="25" t="str">
        <f>IF('03_Настройки'!$B$7="Нет","Нет",IF(COUNTIFS('04_Потребность'!$A$4:$A$103,A181,'04_Потребность'!$C$4:$C$103,B181,'04_Потребность'!$H$4:$H$103,"Да")&gt;0,"Да","Нет"))</f>
        <v>Нет</v>
      </c>
      <c r="AM181" s="30">
        <f t="shared" si="100"/>
        <v>0</v>
      </c>
      <c r="AN181" s="30">
        <f t="shared" si="101"/>
        <v>0</v>
      </c>
      <c r="AO181" s="29">
        <f t="shared" si="102"/>
        <v>0</v>
      </c>
      <c r="AP181" s="29">
        <f t="shared" si="103"/>
        <v>0</v>
      </c>
      <c r="AQ181" s="29">
        <f t="shared" si="104"/>
        <v>0</v>
      </c>
      <c r="AR181" s="29">
        <f>IFERROR(E181*'03_Настройки'!$B$4/365*(IF(T181&gt;0,T181*V181*(1+W181)*MAX(0,N181-U181),0)+IF(X181&gt;0,X181*Z181*(1+AA181)*MAX(0,N181-Y181),0)+IF(AB181&gt;0,AB181*AD181*(1+AE181)*MAX(0,N181-AC181),0)),0)</f>
        <v>0</v>
      </c>
      <c r="AS181" s="29">
        <f t="shared" si="105"/>
        <v>0</v>
      </c>
      <c r="AT181" s="31">
        <f t="shared" si="106"/>
        <v>0</v>
      </c>
      <c r="AU181" s="31">
        <f t="shared" si="107"/>
        <v>0</v>
      </c>
      <c r="AV181" s="32">
        <f t="shared" si="108"/>
        <v>0</v>
      </c>
      <c r="AW181" s="29" t="e">
        <f t="shared" si="109"/>
        <v>#VALUE!</v>
      </c>
      <c r="AX181" s="29">
        <f t="shared" si="110"/>
        <v>0</v>
      </c>
      <c r="AY181" s="29" t="e">
        <f t="shared" si="111"/>
        <v>#VALUE!</v>
      </c>
      <c r="AZ181" s="25" t="str">
        <f>IF(AND(A181&lt;&gt;"",B181&lt;&gt;"",C181&lt;&gt;"",D181&gt;0,E181&gt;0,N181&lt;&gt;"",AH181&gt;0,O181="Да",P181="Да",BZ181="ПОЛНО",ABS(AN181-1)&lt;='03_Настройки'!$B$5,IF(T181&gt;0,AND(U181&lt;&gt;"",V181&gt;0),TRUE()),IF(X181&gt;0,AND(Y181&lt;&gt;"",Z181&gt;0),TRUE()),IF(AB181&gt;0,AND(AC181&lt;&gt;"",AD181&gt;0),TRUE()),OR(BM181="",BM181="Активна")),"Да","Нет")</f>
        <v>Нет</v>
      </c>
      <c r="BA181" s="25" t="str">
        <f t="shared" si="112"/>
        <v>Нет</v>
      </c>
      <c r="BB181" s="25" t="str">
        <f t="shared" si="113"/>
        <v/>
      </c>
      <c r="BC181" s="25" t="str">
        <f t="shared" si="114"/>
        <v/>
      </c>
      <c r="BD181" s="25" t="str">
        <f t="shared" si="115"/>
        <v/>
      </c>
      <c r="BE181" s="25" t="str">
        <f>IF(A181="","",IF(BZ181&lt;&gt;"ПОЛНО","BLOCK: неполная форма",IF(O181&lt;&gt;"Да","BLOCK: ввоз не разрешён",IF(P181&lt;&gt;"Да","BLOCK: документы не подтверждены",IF(ABS(AN181-1)&gt;'03_Настройки'!$B$5,"BLOCK: платежи не 100%",IF(AND(BM181&lt;&gt;"",BM181&lt;&gt;"Активна"),"BLOCK: позиция "&amp;BM181,IF(BA181&lt;&gt;"Да","PARTIAL: не покрывает потребность",IF(BB181="ДА","самый дешёвый"&amp;IF(BC181="ДА"," + быстрый","")&amp;IF(BD181="ДА"," + optimal",""),IF(BC181="ДА","самый быстрый"&amp;IF(BD181="ДА"," + optimal",""),IF(BD181="ДА","optimal","Допущен"))))))))))</f>
        <v/>
      </c>
      <c r="BF181" s="25">
        <f>ROW()</f>
        <v>181</v>
      </c>
      <c r="BG181" s="33"/>
      <c r="BH181" s="33"/>
      <c r="BI181" s="33"/>
      <c r="BJ181" s="33"/>
      <c r="BK181" s="33"/>
      <c r="BL181" s="34"/>
      <c r="BM181" s="33"/>
      <c r="BN181" s="35" t="str">
        <f t="shared" si="116"/>
        <v/>
      </c>
      <c r="BO181" s="36" t="str">
        <f t="shared" si="117"/>
        <v/>
      </c>
      <c r="BP181" s="33"/>
      <c r="BQ181" s="38"/>
      <c r="BR181" s="13"/>
      <c r="BS181" s="13"/>
      <c r="BT181" s="13"/>
      <c r="BU181" s="13"/>
      <c r="BV181" s="13"/>
      <c r="BW181" s="13"/>
      <c r="BX181" s="39" t="str">
        <f t="shared" si="118"/>
        <v/>
      </c>
      <c r="BY181" s="47"/>
      <c r="BZ181" s="48" t="str">
        <f t="shared" si="119"/>
        <v/>
      </c>
      <c r="CA181" s="47"/>
      <c r="CB181" s="47"/>
      <c r="CC181" s="47"/>
    </row>
    <row r="182" spans="1:81" ht="14.25" x14ac:dyDescent="0.45">
      <c r="A182" s="10"/>
      <c r="B182" s="10"/>
      <c r="C182" s="10"/>
      <c r="D182" s="10"/>
      <c r="E182" s="10"/>
      <c r="F182" s="10"/>
      <c r="G182" s="10"/>
      <c r="H182" s="25" t="str">
        <f>IFERROR(VLOOKUP(C182,'01_Поставщики'!$A$4:$M$11,2,FALSE()),"")</f>
        <v/>
      </c>
      <c r="I182" s="10"/>
      <c r="J182" s="25" t="str">
        <f>IFERROR(VLOOKUP(C182,'01_Поставщики'!$A$4:$M$11,8,FALSE()),"")</f>
        <v/>
      </c>
      <c r="K182" s="25" t="str">
        <f>IFERROR(VLOOKUP(C182,'01_Поставщики'!$A$4:$M$11,4,FALSE()),"")</f>
        <v/>
      </c>
      <c r="L182" s="25" t="str">
        <f>IFERROR(VLOOKUP(C182,'01_Поставщики'!$A$4:$M$11,10,FALSE()),"")</f>
        <v/>
      </c>
      <c r="M182" s="26" t="str">
        <f>IF(OR(A182="",B182=""),"",IFERROR(SUMIFS('04_Потребность'!$B$4:$B$103,'04_Потребность'!$A$4:$A$103,A182,'04_Потребность'!$C$4:$C$103,B182),0))</f>
        <v/>
      </c>
      <c r="N182" s="11"/>
      <c r="O182" s="10"/>
      <c r="P182" s="10"/>
      <c r="Q182" s="27"/>
      <c r="R182" s="27"/>
      <c r="S182" s="8"/>
      <c r="T182" s="8">
        <f>IFERROR(INDEX('02_Схемы оплаты'!$C$4:$C$19,MATCH($C182&amp;"|"&amp;$G182,'02_Схемы оплаты'!$H$4:$H$19,0)),0)</f>
        <v>0</v>
      </c>
      <c r="U182" s="11"/>
      <c r="V182" s="28"/>
      <c r="W182" s="8"/>
      <c r="X182" s="8">
        <f>IFERROR(INDEX('02_Схемы оплаты'!$D$4:$D$19,MATCH($C182&amp;"|"&amp;$G182,'02_Схемы оплаты'!$H$4:$H$19,0)),0)</f>
        <v>0</v>
      </c>
      <c r="Y182" s="11"/>
      <c r="Z182" s="28"/>
      <c r="AA182" s="8"/>
      <c r="AB182" s="8">
        <f>IFERROR(INDEX('02_Схемы оплаты'!$E$4:$E$19,MATCH($C182&amp;"|"&amp;$G182,'02_Схемы оплаты'!$H$4:$H$19,0)),0)</f>
        <v>0</v>
      </c>
      <c r="AC182" s="11"/>
      <c r="AD182" s="28"/>
      <c r="AE182" s="8"/>
      <c r="AF182" s="10"/>
      <c r="AG182" s="10"/>
      <c r="AH182" s="25">
        <f>IFERROR(SUMIFS('04_Потребность'!$D$4:$D$103,'04_Потребность'!$A$4:$A$103,A182,'04_Потребность'!$C$4:$C$103,B182),0)</f>
        <v>0</v>
      </c>
      <c r="AI182" s="26" t="str">
        <f>IF(OR(A182="",B182=""),"",IFERROR(SUMIFS('04_Потребность'!$E$4:$E$103,'04_Потребность'!$A$4:$A$103,A182,'04_Потребность'!$C$4:$C$103,B182),0))</f>
        <v/>
      </c>
      <c r="AJ182" s="25" t="str">
        <f>IF(OR(A182="",B182=""),"",IFERROR(SUMIFS('04_Потребность'!$F$4:$F$103,'04_Потребность'!$A$4:$A$103,A182,'04_Потребность'!$C$4:$C$103,B182),0))</f>
        <v/>
      </c>
      <c r="AK182" s="29" t="str">
        <f>IF(OR(A182="",B182=""),"",IFERROR(SUMIFS('04_Потребность'!$G$4:$G$103,'04_Потребность'!$A$4:$A$103,A182,'04_Потребность'!$C$4:$C$103,B182),0))</f>
        <v/>
      </c>
      <c r="AL182" s="25" t="str">
        <f>IF('03_Настройки'!$B$7="Нет","Нет",IF(COUNTIFS('04_Потребность'!$A$4:$A$103,A182,'04_Потребность'!$C$4:$C$103,B182,'04_Потребность'!$H$4:$H$103,"Да")&gt;0,"Да","Нет"))</f>
        <v>Нет</v>
      </c>
      <c r="AM182" s="30">
        <f t="shared" si="100"/>
        <v>0</v>
      </c>
      <c r="AN182" s="30">
        <f t="shared" si="101"/>
        <v>0</v>
      </c>
      <c r="AO182" s="29">
        <f t="shared" si="102"/>
        <v>0</v>
      </c>
      <c r="AP182" s="29">
        <f t="shared" si="103"/>
        <v>0</v>
      </c>
      <c r="AQ182" s="29">
        <f t="shared" si="104"/>
        <v>0</v>
      </c>
      <c r="AR182" s="29">
        <f>IFERROR(E182*'03_Настройки'!$B$4/365*(IF(T182&gt;0,T182*V182*(1+W182)*MAX(0,N182-U182),0)+IF(X182&gt;0,X182*Z182*(1+AA182)*MAX(0,N182-Y182),0)+IF(AB182&gt;0,AB182*AD182*(1+AE182)*MAX(0,N182-AC182),0)),0)</f>
        <v>0</v>
      </c>
      <c r="AS182" s="29">
        <f t="shared" si="105"/>
        <v>0</v>
      </c>
      <c r="AT182" s="31">
        <f t="shared" si="106"/>
        <v>0</v>
      </c>
      <c r="AU182" s="31">
        <f t="shared" si="107"/>
        <v>0</v>
      </c>
      <c r="AV182" s="32">
        <f t="shared" si="108"/>
        <v>0</v>
      </c>
      <c r="AW182" s="29" t="e">
        <f t="shared" si="109"/>
        <v>#VALUE!</v>
      </c>
      <c r="AX182" s="29">
        <f t="shared" si="110"/>
        <v>0</v>
      </c>
      <c r="AY182" s="29" t="e">
        <f t="shared" si="111"/>
        <v>#VALUE!</v>
      </c>
      <c r="AZ182" s="25" t="str">
        <f>IF(AND(A182&lt;&gt;"",B182&lt;&gt;"",C182&lt;&gt;"",D182&gt;0,E182&gt;0,N182&lt;&gt;"",AH182&gt;0,O182="Да",P182="Да",BZ182="ПОЛНО",ABS(AN182-1)&lt;='03_Настройки'!$B$5,IF(T182&gt;0,AND(U182&lt;&gt;"",V182&gt;0),TRUE()),IF(X182&gt;0,AND(Y182&lt;&gt;"",Z182&gt;0),TRUE()),IF(AB182&gt;0,AND(AC182&lt;&gt;"",AD182&gt;0),TRUE()),OR(BM182="",BM182="Активна")),"Да","Нет")</f>
        <v>Нет</v>
      </c>
      <c r="BA182" s="25" t="str">
        <f t="shared" si="112"/>
        <v>Нет</v>
      </c>
      <c r="BB182" s="25" t="str">
        <f t="shared" si="113"/>
        <v/>
      </c>
      <c r="BC182" s="25" t="str">
        <f t="shared" si="114"/>
        <v/>
      </c>
      <c r="BD182" s="25" t="str">
        <f t="shared" si="115"/>
        <v/>
      </c>
      <c r="BE182" s="25" t="str">
        <f>IF(A182="","",IF(BZ182&lt;&gt;"ПОЛНО","BLOCK: неполная форма",IF(O182&lt;&gt;"Да","BLOCK: ввоз не разрешён",IF(P182&lt;&gt;"Да","BLOCK: документы не подтверждены",IF(ABS(AN182-1)&gt;'03_Настройки'!$B$5,"BLOCK: платежи не 100%",IF(AND(BM182&lt;&gt;"",BM182&lt;&gt;"Активна"),"BLOCK: позиция "&amp;BM182,IF(BA182&lt;&gt;"Да","PARTIAL: не покрывает потребность",IF(BB182="ДА","самый дешёвый"&amp;IF(BC182="ДА"," + быстрый","")&amp;IF(BD182="ДА"," + optimal",""),IF(BC182="ДА","самый быстрый"&amp;IF(BD182="ДА"," + optimal",""),IF(BD182="ДА","optimal","Допущен"))))))))))</f>
        <v/>
      </c>
      <c r="BF182" s="25">
        <f>ROW()</f>
        <v>182</v>
      </c>
      <c r="BG182" s="33"/>
      <c r="BH182" s="33"/>
      <c r="BI182" s="33"/>
      <c r="BJ182" s="33"/>
      <c r="BK182" s="33"/>
      <c r="BL182" s="34"/>
      <c r="BM182" s="33"/>
      <c r="BN182" s="35" t="str">
        <f t="shared" si="116"/>
        <v/>
      </c>
      <c r="BO182" s="36" t="str">
        <f t="shared" si="117"/>
        <v/>
      </c>
      <c r="BP182" s="33"/>
      <c r="BQ182" s="38"/>
      <c r="BR182" s="13"/>
      <c r="BS182" s="13"/>
      <c r="BT182" s="13"/>
      <c r="BU182" s="13"/>
      <c r="BV182" s="13"/>
      <c r="BW182" s="13"/>
      <c r="BX182" s="39" t="str">
        <f t="shared" si="118"/>
        <v/>
      </c>
      <c r="BY182" s="47"/>
      <c r="BZ182" s="48" t="str">
        <f t="shared" si="119"/>
        <v/>
      </c>
      <c r="CA182" s="47"/>
      <c r="CB182" s="47"/>
      <c r="CC182" s="47"/>
    </row>
    <row r="183" spans="1:81" ht="14.25" x14ac:dyDescent="0.45">
      <c r="A183" s="10"/>
      <c r="B183" s="10"/>
      <c r="C183" s="10"/>
      <c r="D183" s="10"/>
      <c r="E183" s="10"/>
      <c r="F183" s="10"/>
      <c r="G183" s="10"/>
      <c r="H183" s="25" t="str">
        <f>IFERROR(VLOOKUP(C183,'01_Поставщики'!$A$4:$M$11,2,FALSE()),"")</f>
        <v/>
      </c>
      <c r="I183" s="10"/>
      <c r="J183" s="25" t="str">
        <f>IFERROR(VLOOKUP(C183,'01_Поставщики'!$A$4:$M$11,8,FALSE()),"")</f>
        <v/>
      </c>
      <c r="K183" s="25" t="str">
        <f>IFERROR(VLOOKUP(C183,'01_Поставщики'!$A$4:$M$11,4,FALSE()),"")</f>
        <v/>
      </c>
      <c r="L183" s="25" t="str">
        <f>IFERROR(VLOOKUP(C183,'01_Поставщики'!$A$4:$M$11,10,FALSE()),"")</f>
        <v/>
      </c>
      <c r="M183" s="26" t="str">
        <f>IF(OR(A183="",B183=""),"",IFERROR(SUMIFS('04_Потребность'!$B$4:$B$103,'04_Потребность'!$A$4:$A$103,A183,'04_Потребность'!$C$4:$C$103,B183),0))</f>
        <v/>
      </c>
      <c r="N183" s="11"/>
      <c r="O183" s="10"/>
      <c r="P183" s="10"/>
      <c r="Q183" s="27"/>
      <c r="R183" s="27"/>
      <c r="S183" s="8"/>
      <c r="T183" s="8">
        <f>IFERROR(INDEX('02_Схемы оплаты'!$C$4:$C$19,MATCH($C183&amp;"|"&amp;$G183,'02_Схемы оплаты'!$H$4:$H$19,0)),0)</f>
        <v>0</v>
      </c>
      <c r="U183" s="11"/>
      <c r="V183" s="28"/>
      <c r="W183" s="8"/>
      <c r="X183" s="8">
        <f>IFERROR(INDEX('02_Схемы оплаты'!$D$4:$D$19,MATCH($C183&amp;"|"&amp;$G183,'02_Схемы оплаты'!$H$4:$H$19,0)),0)</f>
        <v>0</v>
      </c>
      <c r="Y183" s="11"/>
      <c r="Z183" s="28"/>
      <c r="AA183" s="8"/>
      <c r="AB183" s="8">
        <f>IFERROR(INDEX('02_Схемы оплаты'!$E$4:$E$19,MATCH($C183&amp;"|"&amp;$G183,'02_Схемы оплаты'!$H$4:$H$19,0)),0)</f>
        <v>0</v>
      </c>
      <c r="AC183" s="11"/>
      <c r="AD183" s="28"/>
      <c r="AE183" s="8"/>
      <c r="AF183" s="10"/>
      <c r="AG183" s="10"/>
      <c r="AH183" s="25">
        <f>IFERROR(SUMIFS('04_Потребность'!$D$4:$D$103,'04_Потребность'!$A$4:$A$103,A183,'04_Потребность'!$C$4:$C$103,B183),0)</f>
        <v>0</v>
      </c>
      <c r="AI183" s="26" t="str">
        <f>IF(OR(A183="",B183=""),"",IFERROR(SUMIFS('04_Потребность'!$E$4:$E$103,'04_Потребность'!$A$4:$A$103,A183,'04_Потребность'!$C$4:$C$103,B183),0))</f>
        <v/>
      </c>
      <c r="AJ183" s="25" t="str">
        <f>IF(OR(A183="",B183=""),"",IFERROR(SUMIFS('04_Потребность'!$F$4:$F$103,'04_Потребность'!$A$4:$A$103,A183,'04_Потребность'!$C$4:$C$103,B183),0))</f>
        <v/>
      </c>
      <c r="AK183" s="29" t="str">
        <f>IF(OR(A183="",B183=""),"",IFERROR(SUMIFS('04_Потребность'!$G$4:$G$103,'04_Потребность'!$A$4:$A$103,A183,'04_Потребность'!$C$4:$C$103,B183),0))</f>
        <v/>
      </c>
      <c r="AL183" s="25" t="str">
        <f>IF('03_Настройки'!$B$7="Нет","Нет",IF(COUNTIFS('04_Потребность'!$A$4:$A$103,A183,'04_Потребность'!$C$4:$C$103,B183,'04_Потребность'!$H$4:$H$103,"Да")&gt;0,"Да","Нет"))</f>
        <v>Нет</v>
      </c>
      <c r="AM183" s="30">
        <f t="shared" si="100"/>
        <v>0</v>
      </c>
      <c r="AN183" s="30">
        <f t="shared" si="101"/>
        <v>0</v>
      </c>
      <c r="AO183" s="29">
        <f t="shared" si="102"/>
        <v>0</v>
      </c>
      <c r="AP183" s="29">
        <f t="shared" si="103"/>
        <v>0</v>
      </c>
      <c r="AQ183" s="29">
        <f t="shared" si="104"/>
        <v>0</v>
      </c>
      <c r="AR183" s="29">
        <f>IFERROR(E183*'03_Настройки'!$B$4/365*(IF(T183&gt;0,T183*V183*(1+W183)*MAX(0,N183-U183),0)+IF(X183&gt;0,X183*Z183*(1+AA183)*MAX(0,N183-Y183),0)+IF(AB183&gt;0,AB183*AD183*(1+AE183)*MAX(0,N183-AC183),0)),0)</f>
        <v>0</v>
      </c>
      <c r="AS183" s="29">
        <f t="shared" si="105"/>
        <v>0</v>
      </c>
      <c r="AT183" s="31">
        <f t="shared" si="106"/>
        <v>0</v>
      </c>
      <c r="AU183" s="31">
        <f t="shared" si="107"/>
        <v>0</v>
      </c>
      <c r="AV183" s="32">
        <f t="shared" si="108"/>
        <v>0</v>
      </c>
      <c r="AW183" s="29" t="e">
        <f t="shared" si="109"/>
        <v>#VALUE!</v>
      </c>
      <c r="AX183" s="29">
        <f t="shared" si="110"/>
        <v>0</v>
      </c>
      <c r="AY183" s="29" t="e">
        <f t="shared" si="111"/>
        <v>#VALUE!</v>
      </c>
      <c r="AZ183" s="25" t="str">
        <f>IF(AND(A183&lt;&gt;"",B183&lt;&gt;"",C183&lt;&gt;"",D183&gt;0,E183&gt;0,N183&lt;&gt;"",AH183&gt;0,O183="Да",P183="Да",BZ183="ПОЛНО",ABS(AN183-1)&lt;='03_Настройки'!$B$5,IF(T183&gt;0,AND(U183&lt;&gt;"",V183&gt;0),TRUE()),IF(X183&gt;0,AND(Y183&lt;&gt;"",Z183&gt;0),TRUE()),IF(AB183&gt;0,AND(AC183&lt;&gt;"",AD183&gt;0),TRUE()),OR(BM183="",BM183="Активна")),"Да","Нет")</f>
        <v>Нет</v>
      </c>
      <c r="BA183" s="25" t="str">
        <f t="shared" si="112"/>
        <v>Нет</v>
      </c>
      <c r="BB183" s="25" t="str">
        <f t="shared" si="113"/>
        <v/>
      </c>
      <c r="BC183" s="25" t="str">
        <f t="shared" si="114"/>
        <v/>
      </c>
      <c r="BD183" s="25" t="str">
        <f t="shared" si="115"/>
        <v/>
      </c>
      <c r="BE183" s="25" t="str">
        <f>IF(A183="","",IF(BZ183&lt;&gt;"ПОЛНО","BLOCK: неполная форма",IF(O183&lt;&gt;"Да","BLOCK: ввоз не разрешён",IF(P183&lt;&gt;"Да","BLOCK: документы не подтверждены",IF(ABS(AN183-1)&gt;'03_Настройки'!$B$5,"BLOCK: платежи не 100%",IF(AND(BM183&lt;&gt;"",BM183&lt;&gt;"Активна"),"BLOCK: позиция "&amp;BM183,IF(BA183&lt;&gt;"Да","PARTIAL: не покрывает потребность",IF(BB183="ДА","самый дешёвый"&amp;IF(BC183="ДА"," + быстрый","")&amp;IF(BD183="ДА"," + optimal",""),IF(BC183="ДА","самый быстрый"&amp;IF(BD183="ДА"," + optimal",""),IF(BD183="ДА","optimal","Допущен"))))))))))</f>
        <v/>
      </c>
      <c r="BF183" s="25">
        <f>ROW()</f>
        <v>183</v>
      </c>
      <c r="BG183" s="33"/>
      <c r="BH183" s="33"/>
      <c r="BI183" s="33"/>
      <c r="BJ183" s="33"/>
      <c r="BK183" s="33"/>
      <c r="BL183" s="34"/>
      <c r="BM183" s="33"/>
      <c r="BN183" s="35" t="str">
        <f t="shared" si="116"/>
        <v/>
      </c>
      <c r="BO183" s="36" t="str">
        <f t="shared" si="117"/>
        <v/>
      </c>
      <c r="BP183" s="33"/>
      <c r="BQ183" s="38"/>
      <c r="BR183" s="13"/>
      <c r="BS183" s="13"/>
      <c r="BT183" s="13"/>
      <c r="BU183" s="13"/>
      <c r="BV183" s="13"/>
      <c r="BW183" s="13"/>
      <c r="BX183" s="39" t="str">
        <f t="shared" si="118"/>
        <v/>
      </c>
      <c r="BY183" s="47"/>
      <c r="BZ183" s="48" t="str">
        <f t="shared" si="119"/>
        <v/>
      </c>
      <c r="CA183" s="47"/>
      <c r="CB183" s="47"/>
      <c r="CC183" s="47"/>
    </row>
    <row r="184" spans="1:81" ht="14.25" x14ac:dyDescent="0.45">
      <c r="A184" s="10"/>
      <c r="B184" s="10"/>
      <c r="C184" s="10"/>
      <c r="D184" s="10"/>
      <c r="E184" s="10"/>
      <c r="F184" s="10"/>
      <c r="G184" s="10"/>
      <c r="H184" s="25" t="str">
        <f>IFERROR(VLOOKUP(C184,'01_Поставщики'!$A$4:$M$11,2,FALSE()),"")</f>
        <v/>
      </c>
      <c r="I184" s="10"/>
      <c r="J184" s="25" t="str">
        <f>IFERROR(VLOOKUP(C184,'01_Поставщики'!$A$4:$M$11,8,FALSE()),"")</f>
        <v/>
      </c>
      <c r="K184" s="25" t="str">
        <f>IFERROR(VLOOKUP(C184,'01_Поставщики'!$A$4:$M$11,4,FALSE()),"")</f>
        <v/>
      </c>
      <c r="L184" s="25" t="str">
        <f>IFERROR(VLOOKUP(C184,'01_Поставщики'!$A$4:$M$11,10,FALSE()),"")</f>
        <v/>
      </c>
      <c r="M184" s="26" t="str">
        <f>IF(OR(A184="",B184=""),"",IFERROR(SUMIFS('04_Потребность'!$B$4:$B$103,'04_Потребность'!$A$4:$A$103,A184,'04_Потребность'!$C$4:$C$103,B184),0))</f>
        <v/>
      </c>
      <c r="N184" s="11"/>
      <c r="O184" s="10"/>
      <c r="P184" s="10"/>
      <c r="Q184" s="27"/>
      <c r="R184" s="27"/>
      <c r="S184" s="8"/>
      <c r="T184" s="8">
        <f>IFERROR(INDEX('02_Схемы оплаты'!$C$4:$C$19,MATCH($C184&amp;"|"&amp;$G184,'02_Схемы оплаты'!$H$4:$H$19,0)),0)</f>
        <v>0</v>
      </c>
      <c r="U184" s="11"/>
      <c r="V184" s="28"/>
      <c r="W184" s="8"/>
      <c r="X184" s="8">
        <f>IFERROR(INDEX('02_Схемы оплаты'!$D$4:$D$19,MATCH($C184&amp;"|"&amp;$G184,'02_Схемы оплаты'!$H$4:$H$19,0)),0)</f>
        <v>0</v>
      </c>
      <c r="Y184" s="11"/>
      <c r="Z184" s="28"/>
      <c r="AA184" s="8"/>
      <c r="AB184" s="8">
        <f>IFERROR(INDEX('02_Схемы оплаты'!$E$4:$E$19,MATCH($C184&amp;"|"&amp;$G184,'02_Схемы оплаты'!$H$4:$H$19,0)),0)</f>
        <v>0</v>
      </c>
      <c r="AC184" s="11"/>
      <c r="AD184" s="28"/>
      <c r="AE184" s="8"/>
      <c r="AF184" s="10"/>
      <c r="AG184" s="10"/>
      <c r="AH184" s="25">
        <f>IFERROR(SUMIFS('04_Потребность'!$D$4:$D$103,'04_Потребность'!$A$4:$A$103,A184,'04_Потребность'!$C$4:$C$103,B184),0)</f>
        <v>0</v>
      </c>
      <c r="AI184" s="26" t="str">
        <f>IF(OR(A184="",B184=""),"",IFERROR(SUMIFS('04_Потребность'!$E$4:$E$103,'04_Потребность'!$A$4:$A$103,A184,'04_Потребность'!$C$4:$C$103,B184),0))</f>
        <v/>
      </c>
      <c r="AJ184" s="25" t="str">
        <f>IF(OR(A184="",B184=""),"",IFERROR(SUMIFS('04_Потребность'!$F$4:$F$103,'04_Потребность'!$A$4:$A$103,A184,'04_Потребность'!$C$4:$C$103,B184),0))</f>
        <v/>
      </c>
      <c r="AK184" s="29" t="str">
        <f>IF(OR(A184="",B184=""),"",IFERROR(SUMIFS('04_Потребность'!$G$4:$G$103,'04_Потребность'!$A$4:$A$103,A184,'04_Потребность'!$C$4:$C$103,B184),0))</f>
        <v/>
      </c>
      <c r="AL184" s="25" t="str">
        <f>IF('03_Настройки'!$B$7="Нет","Нет",IF(COUNTIFS('04_Потребность'!$A$4:$A$103,A184,'04_Потребность'!$C$4:$C$103,B184,'04_Потребность'!$H$4:$H$103,"Да")&gt;0,"Да","Нет"))</f>
        <v>Нет</v>
      </c>
      <c r="AM184" s="30">
        <f t="shared" si="100"/>
        <v>0</v>
      </c>
      <c r="AN184" s="30">
        <f t="shared" si="101"/>
        <v>0</v>
      </c>
      <c r="AO184" s="29">
        <f t="shared" si="102"/>
        <v>0</v>
      </c>
      <c r="AP184" s="29">
        <f t="shared" si="103"/>
        <v>0</v>
      </c>
      <c r="AQ184" s="29">
        <f t="shared" si="104"/>
        <v>0</v>
      </c>
      <c r="AR184" s="29">
        <f>IFERROR(E184*'03_Настройки'!$B$4/365*(IF(T184&gt;0,T184*V184*(1+W184)*MAX(0,N184-U184),0)+IF(X184&gt;0,X184*Z184*(1+AA184)*MAX(0,N184-Y184),0)+IF(AB184&gt;0,AB184*AD184*(1+AE184)*MAX(0,N184-AC184),0)),0)</f>
        <v>0</v>
      </c>
      <c r="AS184" s="29">
        <f t="shared" si="105"/>
        <v>0</v>
      </c>
      <c r="AT184" s="31">
        <f t="shared" si="106"/>
        <v>0</v>
      </c>
      <c r="AU184" s="31">
        <f t="shared" si="107"/>
        <v>0</v>
      </c>
      <c r="AV184" s="32">
        <f t="shared" si="108"/>
        <v>0</v>
      </c>
      <c r="AW184" s="29" t="e">
        <f t="shared" si="109"/>
        <v>#VALUE!</v>
      </c>
      <c r="AX184" s="29">
        <f t="shared" si="110"/>
        <v>0</v>
      </c>
      <c r="AY184" s="29" t="e">
        <f t="shared" si="111"/>
        <v>#VALUE!</v>
      </c>
      <c r="AZ184" s="25" t="str">
        <f>IF(AND(A184&lt;&gt;"",B184&lt;&gt;"",C184&lt;&gt;"",D184&gt;0,E184&gt;0,N184&lt;&gt;"",AH184&gt;0,O184="Да",P184="Да",BZ184="ПОЛНО",ABS(AN184-1)&lt;='03_Настройки'!$B$5,IF(T184&gt;0,AND(U184&lt;&gt;"",V184&gt;0),TRUE()),IF(X184&gt;0,AND(Y184&lt;&gt;"",Z184&gt;0),TRUE()),IF(AB184&gt;0,AND(AC184&lt;&gt;"",AD184&gt;0),TRUE()),OR(BM184="",BM184="Активна")),"Да","Нет")</f>
        <v>Нет</v>
      </c>
      <c r="BA184" s="25" t="str">
        <f t="shared" si="112"/>
        <v>Нет</v>
      </c>
      <c r="BB184" s="25" t="str">
        <f t="shared" si="113"/>
        <v/>
      </c>
      <c r="BC184" s="25" t="str">
        <f t="shared" si="114"/>
        <v/>
      </c>
      <c r="BD184" s="25" t="str">
        <f t="shared" si="115"/>
        <v/>
      </c>
      <c r="BE184" s="25" t="str">
        <f>IF(A184="","",IF(BZ184&lt;&gt;"ПОЛНО","BLOCK: неполная форма",IF(O184&lt;&gt;"Да","BLOCK: ввоз не разрешён",IF(P184&lt;&gt;"Да","BLOCK: документы не подтверждены",IF(ABS(AN184-1)&gt;'03_Настройки'!$B$5,"BLOCK: платежи не 100%",IF(AND(BM184&lt;&gt;"",BM184&lt;&gt;"Активна"),"BLOCK: позиция "&amp;BM184,IF(BA184&lt;&gt;"Да","PARTIAL: не покрывает потребность",IF(BB184="ДА","самый дешёвый"&amp;IF(BC184="ДА"," + быстрый","")&amp;IF(BD184="ДА"," + optimal",""),IF(BC184="ДА","самый быстрый"&amp;IF(BD184="ДА"," + optimal",""),IF(BD184="ДА","optimal","Допущен"))))))))))</f>
        <v/>
      </c>
      <c r="BF184" s="25">
        <f>ROW()</f>
        <v>184</v>
      </c>
      <c r="BG184" s="33"/>
      <c r="BH184" s="33"/>
      <c r="BI184" s="33"/>
      <c r="BJ184" s="33"/>
      <c r="BK184" s="33"/>
      <c r="BL184" s="34"/>
      <c r="BM184" s="33"/>
      <c r="BN184" s="35" t="str">
        <f t="shared" si="116"/>
        <v/>
      </c>
      <c r="BO184" s="36" t="str">
        <f t="shared" si="117"/>
        <v/>
      </c>
      <c r="BP184" s="33"/>
      <c r="BQ184" s="38"/>
      <c r="BR184" s="13"/>
      <c r="BS184" s="13"/>
      <c r="BT184" s="13"/>
      <c r="BU184" s="13"/>
      <c r="BV184" s="13"/>
      <c r="BW184" s="13"/>
      <c r="BX184" s="39" t="str">
        <f t="shared" si="118"/>
        <v/>
      </c>
      <c r="BY184" s="47"/>
      <c r="BZ184" s="48" t="str">
        <f t="shared" si="119"/>
        <v/>
      </c>
      <c r="CA184" s="47"/>
      <c r="CB184" s="47"/>
      <c r="CC184" s="47"/>
    </row>
    <row r="185" spans="1:81" ht="14.25" x14ac:dyDescent="0.45">
      <c r="A185" s="10"/>
      <c r="B185" s="10"/>
      <c r="C185" s="10"/>
      <c r="D185" s="10"/>
      <c r="E185" s="10"/>
      <c r="F185" s="10"/>
      <c r="G185" s="10"/>
      <c r="H185" s="25" t="str">
        <f>IFERROR(VLOOKUP(C185,'01_Поставщики'!$A$4:$M$11,2,FALSE()),"")</f>
        <v/>
      </c>
      <c r="I185" s="10"/>
      <c r="J185" s="25" t="str">
        <f>IFERROR(VLOOKUP(C185,'01_Поставщики'!$A$4:$M$11,8,FALSE()),"")</f>
        <v/>
      </c>
      <c r="K185" s="25" t="str">
        <f>IFERROR(VLOOKUP(C185,'01_Поставщики'!$A$4:$M$11,4,FALSE()),"")</f>
        <v/>
      </c>
      <c r="L185" s="25" t="str">
        <f>IFERROR(VLOOKUP(C185,'01_Поставщики'!$A$4:$M$11,10,FALSE()),"")</f>
        <v/>
      </c>
      <c r="M185" s="26" t="str">
        <f>IF(OR(A185="",B185=""),"",IFERROR(SUMIFS('04_Потребность'!$B$4:$B$103,'04_Потребность'!$A$4:$A$103,A185,'04_Потребность'!$C$4:$C$103,B185),0))</f>
        <v/>
      </c>
      <c r="N185" s="11"/>
      <c r="O185" s="10"/>
      <c r="P185" s="10"/>
      <c r="Q185" s="27"/>
      <c r="R185" s="27"/>
      <c r="S185" s="8"/>
      <c r="T185" s="8">
        <f>IFERROR(INDEX('02_Схемы оплаты'!$C$4:$C$19,MATCH($C185&amp;"|"&amp;$G185,'02_Схемы оплаты'!$H$4:$H$19,0)),0)</f>
        <v>0</v>
      </c>
      <c r="U185" s="11"/>
      <c r="V185" s="28"/>
      <c r="W185" s="8"/>
      <c r="X185" s="8">
        <f>IFERROR(INDEX('02_Схемы оплаты'!$D$4:$D$19,MATCH($C185&amp;"|"&amp;$G185,'02_Схемы оплаты'!$H$4:$H$19,0)),0)</f>
        <v>0</v>
      </c>
      <c r="Y185" s="11"/>
      <c r="Z185" s="28"/>
      <c r="AA185" s="8"/>
      <c r="AB185" s="8">
        <f>IFERROR(INDEX('02_Схемы оплаты'!$E$4:$E$19,MATCH($C185&amp;"|"&amp;$G185,'02_Схемы оплаты'!$H$4:$H$19,0)),0)</f>
        <v>0</v>
      </c>
      <c r="AC185" s="11"/>
      <c r="AD185" s="28"/>
      <c r="AE185" s="8"/>
      <c r="AF185" s="10"/>
      <c r="AG185" s="10"/>
      <c r="AH185" s="25">
        <f>IFERROR(SUMIFS('04_Потребность'!$D$4:$D$103,'04_Потребность'!$A$4:$A$103,A185,'04_Потребность'!$C$4:$C$103,B185),0)</f>
        <v>0</v>
      </c>
      <c r="AI185" s="26" t="str">
        <f>IF(OR(A185="",B185=""),"",IFERROR(SUMIFS('04_Потребность'!$E$4:$E$103,'04_Потребность'!$A$4:$A$103,A185,'04_Потребность'!$C$4:$C$103,B185),0))</f>
        <v/>
      </c>
      <c r="AJ185" s="25" t="str">
        <f>IF(OR(A185="",B185=""),"",IFERROR(SUMIFS('04_Потребность'!$F$4:$F$103,'04_Потребность'!$A$4:$A$103,A185,'04_Потребность'!$C$4:$C$103,B185),0))</f>
        <v/>
      </c>
      <c r="AK185" s="29" t="str">
        <f>IF(OR(A185="",B185=""),"",IFERROR(SUMIFS('04_Потребность'!$G$4:$G$103,'04_Потребность'!$A$4:$A$103,A185,'04_Потребность'!$C$4:$C$103,B185),0))</f>
        <v/>
      </c>
      <c r="AL185" s="25" t="str">
        <f>IF('03_Настройки'!$B$7="Нет","Нет",IF(COUNTIFS('04_Потребность'!$A$4:$A$103,A185,'04_Потребность'!$C$4:$C$103,B185,'04_Потребность'!$H$4:$H$103,"Да")&gt;0,"Да","Нет"))</f>
        <v>Нет</v>
      </c>
      <c r="AM185" s="30">
        <f t="shared" si="100"/>
        <v>0</v>
      </c>
      <c r="AN185" s="30">
        <f t="shared" si="101"/>
        <v>0</v>
      </c>
      <c r="AO185" s="29">
        <f t="shared" si="102"/>
        <v>0</v>
      </c>
      <c r="AP185" s="29">
        <f t="shared" si="103"/>
        <v>0</v>
      </c>
      <c r="AQ185" s="29">
        <f t="shared" si="104"/>
        <v>0</v>
      </c>
      <c r="AR185" s="29">
        <f>IFERROR(E185*'03_Настройки'!$B$4/365*(IF(T185&gt;0,T185*V185*(1+W185)*MAX(0,N185-U185),0)+IF(X185&gt;0,X185*Z185*(1+AA185)*MAX(0,N185-Y185),0)+IF(AB185&gt;0,AB185*AD185*(1+AE185)*MAX(0,N185-AC185),0)),0)</f>
        <v>0</v>
      </c>
      <c r="AS185" s="29">
        <f t="shared" si="105"/>
        <v>0</v>
      </c>
      <c r="AT185" s="31">
        <f t="shared" si="106"/>
        <v>0</v>
      </c>
      <c r="AU185" s="31">
        <f t="shared" si="107"/>
        <v>0</v>
      </c>
      <c r="AV185" s="32">
        <f t="shared" si="108"/>
        <v>0</v>
      </c>
      <c r="AW185" s="29" t="e">
        <f t="shared" si="109"/>
        <v>#VALUE!</v>
      </c>
      <c r="AX185" s="29">
        <f t="shared" si="110"/>
        <v>0</v>
      </c>
      <c r="AY185" s="29" t="e">
        <f t="shared" si="111"/>
        <v>#VALUE!</v>
      </c>
      <c r="AZ185" s="25" t="str">
        <f>IF(AND(A185&lt;&gt;"",B185&lt;&gt;"",C185&lt;&gt;"",D185&gt;0,E185&gt;0,N185&lt;&gt;"",AH185&gt;0,O185="Да",P185="Да",BZ185="ПОЛНО",ABS(AN185-1)&lt;='03_Настройки'!$B$5,IF(T185&gt;0,AND(U185&lt;&gt;"",V185&gt;0),TRUE()),IF(X185&gt;0,AND(Y185&lt;&gt;"",Z185&gt;0),TRUE()),IF(AB185&gt;0,AND(AC185&lt;&gt;"",AD185&gt;0),TRUE()),OR(BM185="",BM185="Активна")),"Да","Нет")</f>
        <v>Нет</v>
      </c>
      <c r="BA185" s="25" t="str">
        <f t="shared" si="112"/>
        <v>Нет</v>
      </c>
      <c r="BB185" s="25" t="str">
        <f t="shared" si="113"/>
        <v/>
      </c>
      <c r="BC185" s="25" t="str">
        <f t="shared" si="114"/>
        <v/>
      </c>
      <c r="BD185" s="25" t="str">
        <f t="shared" si="115"/>
        <v/>
      </c>
      <c r="BE185" s="25" t="str">
        <f>IF(A185="","",IF(BZ185&lt;&gt;"ПОЛНО","BLOCK: неполная форма",IF(O185&lt;&gt;"Да","BLOCK: ввоз не разрешён",IF(P185&lt;&gt;"Да","BLOCK: документы не подтверждены",IF(ABS(AN185-1)&gt;'03_Настройки'!$B$5,"BLOCK: платежи не 100%",IF(AND(BM185&lt;&gt;"",BM185&lt;&gt;"Активна"),"BLOCK: позиция "&amp;BM185,IF(BA185&lt;&gt;"Да","PARTIAL: не покрывает потребность",IF(BB185="ДА","самый дешёвый"&amp;IF(BC185="ДА"," + быстрый","")&amp;IF(BD185="ДА"," + optimal",""),IF(BC185="ДА","самый быстрый"&amp;IF(BD185="ДА"," + optimal",""),IF(BD185="ДА","optimal","Допущен"))))))))))</f>
        <v/>
      </c>
      <c r="BF185" s="25">
        <f>ROW()</f>
        <v>185</v>
      </c>
      <c r="BG185" s="33"/>
      <c r="BH185" s="33"/>
      <c r="BI185" s="33"/>
      <c r="BJ185" s="33"/>
      <c r="BK185" s="33"/>
      <c r="BL185" s="34"/>
      <c r="BM185" s="33"/>
      <c r="BN185" s="35" t="str">
        <f t="shared" si="116"/>
        <v/>
      </c>
      <c r="BO185" s="36" t="str">
        <f t="shared" si="117"/>
        <v/>
      </c>
      <c r="BP185" s="33"/>
      <c r="BQ185" s="38"/>
      <c r="BR185" s="13"/>
      <c r="BS185" s="13"/>
      <c r="BT185" s="13"/>
      <c r="BU185" s="13"/>
      <c r="BV185" s="13"/>
      <c r="BW185" s="13"/>
      <c r="BX185" s="39" t="str">
        <f t="shared" si="118"/>
        <v/>
      </c>
      <c r="BY185" s="47"/>
      <c r="BZ185" s="48" t="str">
        <f t="shared" si="119"/>
        <v/>
      </c>
      <c r="CA185" s="47"/>
      <c r="CB185" s="47"/>
      <c r="CC185" s="47"/>
    </row>
    <row r="186" spans="1:81" ht="14.25" x14ac:dyDescent="0.45">
      <c r="A186" s="10"/>
      <c r="B186" s="10"/>
      <c r="C186" s="10"/>
      <c r="D186" s="10"/>
      <c r="E186" s="10"/>
      <c r="F186" s="10"/>
      <c r="G186" s="10"/>
      <c r="H186" s="25" t="str">
        <f>IFERROR(VLOOKUP(C186,'01_Поставщики'!$A$4:$M$11,2,FALSE()),"")</f>
        <v/>
      </c>
      <c r="I186" s="10"/>
      <c r="J186" s="25" t="str">
        <f>IFERROR(VLOOKUP(C186,'01_Поставщики'!$A$4:$M$11,8,FALSE()),"")</f>
        <v/>
      </c>
      <c r="K186" s="25" t="str">
        <f>IFERROR(VLOOKUP(C186,'01_Поставщики'!$A$4:$M$11,4,FALSE()),"")</f>
        <v/>
      </c>
      <c r="L186" s="25" t="str">
        <f>IFERROR(VLOOKUP(C186,'01_Поставщики'!$A$4:$M$11,10,FALSE()),"")</f>
        <v/>
      </c>
      <c r="M186" s="26" t="str">
        <f>IF(OR(A186="",B186=""),"",IFERROR(SUMIFS('04_Потребность'!$B$4:$B$103,'04_Потребность'!$A$4:$A$103,A186,'04_Потребность'!$C$4:$C$103,B186),0))</f>
        <v/>
      </c>
      <c r="N186" s="11"/>
      <c r="O186" s="10"/>
      <c r="P186" s="10"/>
      <c r="Q186" s="27"/>
      <c r="R186" s="27"/>
      <c r="S186" s="8"/>
      <c r="T186" s="8">
        <f>IFERROR(INDEX('02_Схемы оплаты'!$C$4:$C$19,MATCH($C186&amp;"|"&amp;$G186,'02_Схемы оплаты'!$H$4:$H$19,0)),0)</f>
        <v>0</v>
      </c>
      <c r="U186" s="11"/>
      <c r="V186" s="28"/>
      <c r="W186" s="8"/>
      <c r="X186" s="8">
        <f>IFERROR(INDEX('02_Схемы оплаты'!$D$4:$D$19,MATCH($C186&amp;"|"&amp;$G186,'02_Схемы оплаты'!$H$4:$H$19,0)),0)</f>
        <v>0</v>
      </c>
      <c r="Y186" s="11"/>
      <c r="Z186" s="28"/>
      <c r="AA186" s="8"/>
      <c r="AB186" s="8">
        <f>IFERROR(INDEX('02_Схемы оплаты'!$E$4:$E$19,MATCH($C186&amp;"|"&amp;$G186,'02_Схемы оплаты'!$H$4:$H$19,0)),0)</f>
        <v>0</v>
      </c>
      <c r="AC186" s="11"/>
      <c r="AD186" s="28"/>
      <c r="AE186" s="8"/>
      <c r="AF186" s="10"/>
      <c r="AG186" s="10"/>
      <c r="AH186" s="25">
        <f>IFERROR(SUMIFS('04_Потребность'!$D$4:$D$103,'04_Потребность'!$A$4:$A$103,A186,'04_Потребность'!$C$4:$C$103,B186),0)</f>
        <v>0</v>
      </c>
      <c r="AI186" s="26" t="str">
        <f>IF(OR(A186="",B186=""),"",IFERROR(SUMIFS('04_Потребность'!$E$4:$E$103,'04_Потребность'!$A$4:$A$103,A186,'04_Потребность'!$C$4:$C$103,B186),0))</f>
        <v/>
      </c>
      <c r="AJ186" s="25" t="str">
        <f>IF(OR(A186="",B186=""),"",IFERROR(SUMIFS('04_Потребность'!$F$4:$F$103,'04_Потребность'!$A$4:$A$103,A186,'04_Потребность'!$C$4:$C$103,B186),0))</f>
        <v/>
      </c>
      <c r="AK186" s="29" t="str">
        <f>IF(OR(A186="",B186=""),"",IFERROR(SUMIFS('04_Потребность'!$G$4:$G$103,'04_Потребность'!$A$4:$A$103,A186,'04_Потребность'!$C$4:$C$103,B186),0))</f>
        <v/>
      </c>
      <c r="AL186" s="25" t="str">
        <f>IF('03_Настройки'!$B$7="Нет","Нет",IF(COUNTIFS('04_Потребность'!$A$4:$A$103,A186,'04_Потребность'!$C$4:$C$103,B186,'04_Потребность'!$H$4:$H$103,"Да")&gt;0,"Да","Нет"))</f>
        <v>Нет</v>
      </c>
      <c r="AM186" s="30">
        <f t="shared" si="100"/>
        <v>0</v>
      </c>
      <c r="AN186" s="30">
        <f t="shared" si="101"/>
        <v>0</v>
      </c>
      <c r="AO186" s="29">
        <f t="shared" si="102"/>
        <v>0</v>
      </c>
      <c r="AP186" s="29">
        <f t="shared" si="103"/>
        <v>0</v>
      </c>
      <c r="AQ186" s="29">
        <f t="shared" si="104"/>
        <v>0</v>
      </c>
      <c r="AR186" s="29">
        <f>IFERROR(E186*'03_Настройки'!$B$4/365*(IF(T186&gt;0,T186*V186*(1+W186)*MAX(0,N186-U186),0)+IF(X186&gt;0,X186*Z186*(1+AA186)*MAX(0,N186-Y186),0)+IF(AB186&gt;0,AB186*AD186*(1+AE186)*MAX(0,N186-AC186),0)),0)</f>
        <v>0</v>
      </c>
      <c r="AS186" s="29">
        <f t="shared" si="105"/>
        <v>0</v>
      </c>
      <c r="AT186" s="31">
        <f t="shared" si="106"/>
        <v>0</v>
      </c>
      <c r="AU186" s="31">
        <f t="shared" si="107"/>
        <v>0</v>
      </c>
      <c r="AV186" s="32">
        <f t="shared" si="108"/>
        <v>0</v>
      </c>
      <c r="AW186" s="29" t="e">
        <f t="shared" si="109"/>
        <v>#VALUE!</v>
      </c>
      <c r="AX186" s="29">
        <f t="shared" si="110"/>
        <v>0</v>
      </c>
      <c r="AY186" s="29" t="e">
        <f t="shared" si="111"/>
        <v>#VALUE!</v>
      </c>
      <c r="AZ186" s="25" t="str">
        <f>IF(AND(A186&lt;&gt;"",B186&lt;&gt;"",C186&lt;&gt;"",D186&gt;0,E186&gt;0,N186&lt;&gt;"",AH186&gt;0,O186="Да",P186="Да",BZ186="ПОЛНО",ABS(AN186-1)&lt;='03_Настройки'!$B$5,IF(T186&gt;0,AND(U186&lt;&gt;"",V186&gt;0),TRUE()),IF(X186&gt;0,AND(Y186&lt;&gt;"",Z186&gt;0),TRUE()),IF(AB186&gt;0,AND(AC186&lt;&gt;"",AD186&gt;0),TRUE()),OR(BM186="",BM186="Активна")),"Да","Нет")</f>
        <v>Нет</v>
      </c>
      <c r="BA186" s="25" t="str">
        <f t="shared" si="112"/>
        <v>Нет</v>
      </c>
      <c r="BB186" s="25" t="str">
        <f t="shared" si="113"/>
        <v/>
      </c>
      <c r="BC186" s="25" t="str">
        <f t="shared" si="114"/>
        <v/>
      </c>
      <c r="BD186" s="25" t="str">
        <f t="shared" si="115"/>
        <v/>
      </c>
      <c r="BE186" s="25" t="str">
        <f>IF(A186="","",IF(BZ186&lt;&gt;"ПОЛНО","BLOCK: неполная форма",IF(O186&lt;&gt;"Да","BLOCK: ввоз не разрешён",IF(P186&lt;&gt;"Да","BLOCK: документы не подтверждены",IF(ABS(AN186-1)&gt;'03_Настройки'!$B$5,"BLOCK: платежи не 100%",IF(AND(BM186&lt;&gt;"",BM186&lt;&gt;"Активна"),"BLOCK: позиция "&amp;BM186,IF(BA186&lt;&gt;"Да","PARTIAL: не покрывает потребность",IF(BB186="ДА","самый дешёвый"&amp;IF(BC186="ДА"," + быстрый","")&amp;IF(BD186="ДА"," + optimal",""),IF(BC186="ДА","самый быстрый"&amp;IF(BD186="ДА"," + optimal",""),IF(BD186="ДА","optimal","Допущен"))))))))))</f>
        <v/>
      </c>
      <c r="BF186" s="25">
        <f>ROW()</f>
        <v>186</v>
      </c>
      <c r="BG186" s="33"/>
      <c r="BH186" s="33"/>
      <c r="BI186" s="33"/>
      <c r="BJ186" s="33"/>
      <c r="BK186" s="33"/>
      <c r="BL186" s="34"/>
      <c r="BM186" s="33"/>
      <c r="BN186" s="35" t="str">
        <f t="shared" si="116"/>
        <v/>
      </c>
      <c r="BO186" s="36" t="str">
        <f t="shared" si="117"/>
        <v/>
      </c>
      <c r="BP186" s="33"/>
      <c r="BQ186" s="38"/>
      <c r="BR186" s="13"/>
      <c r="BS186" s="13"/>
      <c r="BT186" s="13"/>
      <c r="BU186" s="13"/>
      <c r="BV186" s="13"/>
      <c r="BW186" s="13"/>
      <c r="BX186" s="39" t="str">
        <f t="shared" si="118"/>
        <v/>
      </c>
      <c r="BY186" s="47"/>
      <c r="BZ186" s="48" t="str">
        <f t="shared" si="119"/>
        <v/>
      </c>
      <c r="CA186" s="47"/>
      <c r="CB186" s="47"/>
      <c r="CC186" s="47"/>
    </row>
    <row r="187" spans="1:81" ht="14.25" x14ac:dyDescent="0.45">
      <c r="A187" s="10"/>
      <c r="B187" s="10"/>
      <c r="C187" s="10"/>
      <c r="D187" s="10"/>
      <c r="E187" s="10"/>
      <c r="F187" s="10"/>
      <c r="G187" s="10"/>
      <c r="H187" s="25" t="str">
        <f>IFERROR(VLOOKUP(C187,'01_Поставщики'!$A$4:$M$11,2,FALSE()),"")</f>
        <v/>
      </c>
      <c r="I187" s="10"/>
      <c r="J187" s="25" t="str">
        <f>IFERROR(VLOOKUP(C187,'01_Поставщики'!$A$4:$M$11,8,FALSE()),"")</f>
        <v/>
      </c>
      <c r="K187" s="25" t="str">
        <f>IFERROR(VLOOKUP(C187,'01_Поставщики'!$A$4:$M$11,4,FALSE()),"")</f>
        <v/>
      </c>
      <c r="L187" s="25" t="str">
        <f>IFERROR(VLOOKUP(C187,'01_Поставщики'!$A$4:$M$11,10,FALSE()),"")</f>
        <v/>
      </c>
      <c r="M187" s="26" t="str">
        <f>IF(OR(A187="",B187=""),"",IFERROR(SUMIFS('04_Потребность'!$B$4:$B$103,'04_Потребность'!$A$4:$A$103,A187,'04_Потребность'!$C$4:$C$103,B187),0))</f>
        <v/>
      </c>
      <c r="N187" s="11"/>
      <c r="O187" s="10"/>
      <c r="P187" s="10"/>
      <c r="Q187" s="27"/>
      <c r="R187" s="27"/>
      <c r="S187" s="8"/>
      <c r="T187" s="8">
        <f>IFERROR(INDEX('02_Схемы оплаты'!$C$4:$C$19,MATCH($C187&amp;"|"&amp;$G187,'02_Схемы оплаты'!$H$4:$H$19,0)),0)</f>
        <v>0</v>
      </c>
      <c r="U187" s="11"/>
      <c r="V187" s="28"/>
      <c r="W187" s="8"/>
      <c r="X187" s="8">
        <f>IFERROR(INDEX('02_Схемы оплаты'!$D$4:$D$19,MATCH($C187&amp;"|"&amp;$G187,'02_Схемы оплаты'!$H$4:$H$19,0)),0)</f>
        <v>0</v>
      </c>
      <c r="Y187" s="11"/>
      <c r="Z187" s="28"/>
      <c r="AA187" s="8"/>
      <c r="AB187" s="8">
        <f>IFERROR(INDEX('02_Схемы оплаты'!$E$4:$E$19,MATCH($C187&amp;"|"&amp;$G187,'02_Схемы оплаты'!$H$4:$H$19,0)),0)</f>
        <v>0</v>
      </c>
      <c r="AC187" s="11"/>
      <c r="AD187" s="28"/>
      <c r="AE187" s="8"/>
      <c r="AF187" s="10"/>
      <c r="AG187" s="10"/>
      <c r="AH187" s="25">
        <f>IFERROR(SUMIFS('04_Потребность'!$D$4:$D$103,'04_Потребность'!$A$4:$A$103,A187,'04_Потребность'!$C$4:$C$103,B187),0)</f>
        <v>0</v>
      </c>
      <c r="AI187" s="26" t="str">
        <f>IF(OR(A187="",B187=""),"",IFERROR(SUMIFS('04_Потребность'!$E$4:$E$103,'04_Потребность'!$A$4:$A$103,A187,'04_Потребность'!$C$4:$C$103,B187),0))</f>
        <v/>
      </c>
      <c r="AJ187" s="25" t="str">
        <f>IF(OR(A187="",B187=""),"",IFERROR(SUMIFS('04_Потребность'!$F$4:$F$103,'04_Потребность'!$A$4:$A$103,A187,'04_Потребность'!$C$4:$C$103,B187),0))</f>
        <v/>
      </c>
      <c r="AK187" s="29" t="str">
        <f>IF(OR(A187="",B187=""),"",IFERROR(SUMIFS('04_Потребность'!$G$4:$G$103,'04_Потребность'!$A$4:$A$103,A187,'04_Потребность'!$C$4:$C$103,B187),0))</f>
        <v/>
      </c>
      <c r="AL187" s="25" t="str">
        <f>IF('03_Настройки'!$B$7="Нет","Нет",IF(COUNTIFS('04_Потребность'!$A$4:$A$103,A187,'04_Потребность'!$C$4:$C$103,B187,'04_Потребность'!$H$4:$H$103,"Да")&gt;0,"Да","Нет"))</f>
        <v>Нет</v>
      </c>
      <c r="AM187" s="30">
        <f t="shared" si="100"/>
        <v>0</v>
      </c>
      <c r="AN187" s="30">
        <f t="shared" si="101"/>
        <v>0</v>
      </c>
      <c r="AO187" s="29">
        <f t="shared" si="102"/>
        <v>0</v>
      </c>
      <c r="AP187" s="29">
        <f t="shared" si="103"/>
        <v>0</v>
      </c>
      <c r="AQ187" s="29">
        <f t="shared" si="104"/>
        <v>0</v>
      </c>
      <c r="AR187" s="29">
        <f>IFERROR(E187*'03_Настройки'!$B$4/365*(IF(T187&gt;0,T187*V187*(1+W187)*MAX(0,N187-U187),0)+IF(X187&gt;0,X187*Z187*(1+AA187)*MAX(0,N187-Y187),0)+IF(AB187&gt;0,AB187*AD187*(1+AE187)*MAX(0,N187-AC187),0)),0)</f>
        <v>0</v>
      </c>
      <c r="AS187" s="29">
        <f t="shared" si="105"/>
        <v>0</v>
      </c>
      <c r="AT187" s="31">
        <f t="shared" si="106"/>
        <v>0</v>
      </c>
      <c r="AU187" s="31">
        <f t="shared" si="107"/>
        <v>0</v>
      </c>
      <c r="AV187" s="32">
        <f t="shared" si="108"/>
        <v>0</v>
      </c>
      <c r="AW187" s="29" t="e">
        <f t="shared" si="109"/>
        <v>#VALUE!</v>
      </c>
      <c r="AX187" s="29">
        <f t="shared" si="110"/>
        <v>0</v>
      </c>
      <c r="AY187" s="29" t="e">
        <f t="shared" si="111"/>
        <v>#VALUE!</v>
      </c>
      <c r="AZ187" s="25" t="str">
        <f>IF(AND(A187&lt;&gt;"",B187&lt;&gt;"",C187&lt;&gt;"",D187&gt;0,E187&gt;0,N187&lt;&gt;"",AH187&gt;0,O187="Да",P187="Да",BZ187="ПОЛНО",ABS(AN187-1)&lt;='03_Настройки'!$B$5,IF(T187&gt;0,AND(U187&lt;&gt;"",V187&gt;0),TRUE()),IF(X187&gt;0,AND(Y187&lt;&gt;"",Z187&gt;0),TRUE()),IF(AB187&gt;0,AND(AC187&lt;&gt;"",AD187&gt;0),TRUE()),OR(BM187="",BM187="Активна")),"Да","Нет")</f>
        <v>Нет</v>
      </c>
      <c r="BA187" s="25" t="str">
        <f t="shared" si="112"/>
        <v>Нет</v>
      </c>
      <c r="BB187" s="25" t="str">
        <f t="shared" si="113"/>
        <v/>
      </c>
      <c r="BC187" s="25" t="str">
        <f t="shared" si="114"/>
        <v/>
      </c>
      <c r="BD187" s="25" t="str">
        <f t="shared" si="115"/>
        <v/>
      </c>
      <c r="BE187" s="25" t="str">
        <f>IF(A187="","",IF(BZ187&lt;&gt;"ПОЛНО","BLOCK: неполная форма",IF(O187&lt;&gt;"Да","BLOCK: ввоз не разрешён",IF(P187&lt;&gt;"Да","BLOCK: документы не подтверждены",IF(ABS(AN187-1)&gt;'03_Настройки'!$B$5,"BLOCK: платежи не 100%",IF(AND(BM187&lt;&gt;"",BM187&lt;&gt;"Активна"),"BLOCK: позиция "&amp;BM187,IF(BA187&lt;&gt;"Да","PARTIAL: не покрывает потребность",IF(BB187="ДА","самый дешёвый"&amp;IF(BC187="ДА"," + быстрый","")&amp;IF(BD187="ДА"," + optimal",""),IF(BC187="ДА","самый быстрый"&amp;IF(BD187="ДА"," + optimal",""),IF(BD187="ДА","optimal","Допущен"))))))))))</f>
        <v/>
      </c>
      <c r="BF187" s="25">
        <f>ROW()</f>
        <v>187</v>
      </c>
      <c r="BG187" s="33"/>
      <c r="BH187" s="33"/>
      <c r="BI187" s="33"/>
      <c r="BJ187" s="33"/>
      <c r="BK187" s="33"/>
      <c r="BL187" s="34"/>
      <c r="BM187" s="33"/>
      <c r="BN187" s="35" t="str">
        <f t="shared" si="116"/>
        <v/>
      </c>
      <c r="BO187" s="36" t="str">
        <f t="shared" si="117"/>
        <v/>
      </c>
      <c r="BP187" s="33"/>
      <c r="BQ187" s="38"/>
      <c r="BR187" s="13"/>
      <c r="BS187" s="13"/>
      <c r="BT187" s="13"/>
      <c r="BU187" s="13"/>
      <c r="BV187" s="13"/>
      <c r="BW187" s="13"/>
      <c r="BX187" s="39" t="str">
        <f t="shared" si="118"/>
        <v/>
      </c>
      <c r="BY187" s="47"/>
      <c r="BZ187" s="48" t="str">
        <f t="shared" si="119"/>
        <v/>
      </c>
      <c r="CA187" s="47"/>
      <c r="CB187" s="47"/>
      <c r="CC187" s="47"/>
    </row>
    <row r="188" spans="1:81" ht="14.25" x14ac:dyDescent="0.45">
      <c r="A188" s="10"/>
      <c r="B188" s="10"/>
      <c r="C188" s="10"/>
      <c r="D188" s="10"/>
      <c r="E188" s="10"/>
      <c r="F188" s="10"/>
      <c r="G188" s="10"/>
      <c r="H188" s="25" t="str">
        <f>IFERROR(VLOOKUP(C188,'01_Поставщики'!$A$4:$M$11,2,FALSE()),"")</f>
        <v/>
      </c>
      <c r="I188" s="10"/>
      <c r="J188" s="25" t="str">
        <f>IFERROR(VLOOKUP(C188,'01_Поставщики'!$A$4:$M$11,8,FALSE()),"")</f>
        <v/>
      </c>
      <c r="K188" s="25" t="str">
        <f>IFERROR(VLOOKUP(C188,'01_Поставщики'!$A$4:$M$11,4,FALSE()),"")</f>
        <v/>
      </c>
      <c r="L188" s="25" t="str">
        <f>IFERROR(VLOOKUP(C188,'01_Поставщики'!$A$4:$M$11,10,FALSE()),"")</f>
        <v/>
      </c>
      <c r="M188" s="26" t="str">
        <f>IF(OR(A188="",B188=""),"",IFERROR(SUMIFS('04_Потребность'!$B$4:$B$103,'04_Потребность'!$A$4:$A$103,A188,'04_Потребность'!$C$4:$C$103,B188),0))</f>
        <v/>
      </c>
      <c r="N188" s="11"/>
      <c r="O188" s="10"/>
      <c r="P188" s="10"/>
      <c r="Q188" s="27"/>
      <c r="R188" s="27"/>
      <c r="S188" s="8"/>
      <c r="T188" s="8">
        <f>IFERROR(INDEX('02_Схемы оплаты'!$C$4:$C$19,MATCH($C188&amp;"|"&amp;$G188,'02_Схемы оплаты'!$H$4:$H$19,0)),0)</f>
        <v>0</v>
      </c>
      <c r="U188" s="11"/>
      <c r="V188" s="28"/>
      <c r="W188" s="8"/>
      <c r="X188" s="8">
        <f>IFERROR(INDEX('02_Схемы оплаты'!$D$4:$D$19,MATCH($C188&amp;"|"&amp;$G188,'02_Схемы оплаты'!$H$4:$H$19,0)),0)</f>
        <v>0</v>
      </c>
      <c r="Y188" s="11"/>
      <c r="Z188" s="28"/>
      <c r="AA188" s="8"/>
      <c r="AB188" s="8">
        <f>IFERROR(INDEX('02_Схемы оплаты'!$E$4:$E$19,MATCH($C188&amp;"|"&amp;$G188,'02_Схемы оплаты'!$H$4:$H$19,0)),0)</f>
        <v>0</v>
      </c>
      <c r="AC188" s="11"/>
      <c r="AD188" s="28"/>
      <c r="AE188" s="8"/>
      <c r="AF188" s="10"/>
      <c r="AG188" s="10"/>
      <c r="AH188" s="25">
        <f>IFERROR(SUMIFS('04_Потребность'!$D$4:$D$103,'04_Потребность'!$A$4:$A$103,A188,'04_Потребность'!$C$4:$C$103,B188),0)</f>
        <v>0</v>
      </c>
      <c r="AI188" s="26" t="str">
        <f>IF(OR(A188="",B188=""),"",IFERROR(SUMIFS('04_Потребность'!$E$4:$E$103,'04_Потребность'!$A$4:$A$103,A188,'04_Потребность'!$C$4:$C$103,B188),0))</f>
        <v/>
      </c>
      <c r="AJ188" s="25" t="str">
        <f>IF(OR(A188="",B188=""),"",IFERROR(SUMIFS('04_Потребность'!$F$4:$F$103,'04_Потребность'!$A$4:$A$103,A188,'04_Потребность'!$C$4:$C$103,B188),0))</f>
        <v/>
      </c>
      <c r="AK188" s="29" t="str">
        <f>IF(OR(A188="",B188=""),"",IFERROR(SUMIFS('04_Потребность'!$G$4:$G$103,'04_Потребность'!$A$4:$A$103,A188,'04_Потребность'!$C$4:$C$103,B188),0))</f>
        <v/>
      </c>
      <c r="AL188" s="25" t="str">
        <f>IF('03_Настройки'!$B$7="Нет","Нет",IF(COUNTIFS('04_Потребность'!$A$4:$A$103,A188,'04_Потребность'!$C$4:$C$103,B188,'04_Потребность'!$H$4:$H$103,"Да")&gt;0,"Да","Нет"))</f>
        <v>Нет</v>
      </c>
      <c r="AM188" s="30">
        <f t="shared" si="100"/>
        <v>0</v>
      </c>
      <c r="AN188" s="30">
        <f t="shared" si="101"/>
        <v>0</v>
      </c>
      <c r="AO188" s="29">
        <f t="shared" si="102"/>
        <v>0</v>
      </c>
      <c r="AP188" s="29">
        <f t="shared" si="103"/>
        <v>0</v>
      </c>
      <c r="AQ188" s="29">
        <f t="shared" si="104"/>
        <v>0</v>
      </c>
      <c r="AR188" s="29">
        <f>IFERROR(E188*'03_Настройки'!$B$4/365*(IF(T188&gt;0,T188*V188*(1+W188)*MAX(0,N188-U188),0)+IF(X188&gt;0,X188*Z188*(1+AA188)*MAX(0,N188-Y188),0)+IF(AB188&gt;0,AB188*AD188*(1+AE188)*MAX(0,N188-AC188),0)),0)</f>
        <v>0</v>
      </c>
      <c r="AS188" s="29">
        <f t="shared" si="105"/>
        <v>0</v>
      </c>
      <c r="AT188" s="31">
        <f t="shared" si="106"/>
        <v>0</v>
      </c>
      <c r="AU188" s="31">
        <f t="shared" si="107"/>
        <v>0</v>
      </c>
      <c r="AV188" s="32">
        <f t="shared" si="108"/>
        <v>0</v>
      </c>
      <c r="AW188" s="29" t="e">
        <f t="shared" si="109"/>
        <v>#VALUE!</v>
      </c>
      <c r="AX188" s="29">
        <f t="shared" si="110"/>
        <v>0</v>
      </c>
      <c r="AY188" s="29" t="e">
        <f t="shared" si="111"/>
        <v>#VALUE!</v>
      </c>
      <c r="AZ188" s="25" t="str">
        <f>IF(AND(A188&lt;&gt;"",B188&lt;&gt;"",C188&lt;&gt;"",D188&gt;0,E188&gt;0,N188&lt;&gt;"",AH188&gt;0,O188="Да",P188="Да",BZ188="ПОЛНО",ABS(AN188-1)&lt;='03_Настройки'!$B$5,IF(T188&gt;0,AND(U188&lt;&gt;"",V188&gt;0),TRUE()),IF(X188&gt;0,AND(Y188&lt;&gt;"",Z188&gt;0),TRUE()),IF(AB188&gt;0,AND(AC188&lt;&gt;"",AD188&gt;0),TRUE()),OR(BM188="",BM188="Активна")),"Да","Нет")</f>
        <v>Нет</v>
      </c>
      <c r="BA188" s="25" t="str">
        <f t="shared" si="112"/>
        <v>Нет</v>
      </c>
      <c r="BB188" s="25" t="str">
        <f t="shared" si="113"/>
        <v/>
      </c>
      <c r="BC188" s="25" t="str">
        <f t="shared" si="114"/>
        <v/>
      </c>
      <c r="BD188" s="25" t="str">
        <f t="shared" si="115"/>
        <v/>
      </c>
      <c r="BE188" s="25" t="str">
        <f>IF(A188="","",IF(BZ188&lt;&gt;"ПОЛНО","BLOCK: неполная форма",IF(O188&lt;&gt;"Да","BLOCK: ввоз не разрешён",IF(P188&lt;&gt;"Да","BLOCK: документы не подтверждены",IF(ABS(AN188-1)&gt;'03_Настройки'!$B$5,"BLOCK: платежи не 100%",IF(AND(BM188&lt;&gt;"",BM188&lt;&gt;"Активна"),"BLOCK: позиция "&amp;BM188,IF(BA188&lt;&gt;"Да","PARTIAL: не покрывает потребность",IF(BB188="ДА","самый дешёвый"&amp;IF(BC188="ДА"," + быстрый","")&amp;IF(BD188="ДА"," + optimal",""),IF(BC188="ДА","самый быстрый"&amp;IF(BD188="ДА"," + optimal",""),IF(BD188="ДА","optimal","Допущен"))))))))))</f>
        <v/>
      </c>
      <c r="BF188" s="25">
        <f>ROW()</f>
        <v>188</v>
      </c>
      <c r="BG188" s="33"/>
      <c r="BH188" s="33"/>
      <c r="BI188" s="33"/>
      <c r="BJ188" s="33"/>
      <c r="BK188" s="33"/>
      <c r="BL188" s="34"/>
      <c r="BM188" s="33"/>
      <c r="BN188" s="35" t="str">
        <f t="shared" si="116"/>
        <v/>
      </c>
      <c r="BO188" s="36" t="str">
        <f t="shared" si="117"/>
        <v/>
      </c>
      <c r="BP188" s="33"/>
      <c r="BQ188" s="38"/>
      <c r="BR188" s="13"/>
      <c r="BS188" s="13"/>
      <c r="BT188" s="13"/>
      <c r="BU188" s="13"/>
      <c r="BV188" s="13"/>
      <c r="BW188" s="13"/>
      <c r="BX188" s="39" t="str">
        <f t="shared" si="118"/>
        <v/>
      </c>
      <c r="BY188" s="47"/>
      <c r="BZ188" s="48" t="str">
        <f t="shared" si="119"/>
        <v/>
      </c>
      <c r="CA188" s="47"/>
      <c r="CB188" s="47"/>
      <c r="CC188" s="47"/>
    </row>
    <row r="189" spans="1:81" ht="14.25" x14ac:dyDescent="0.45">
      <c r="A189" s="10"/>
      <c r="B189" s="10"/>
      <c r="C189" s="10"/>
      <c r="D189" s="10"/>
      <c r="E189" s="10"/>
      <c r="F189" s="10"/>
      <c r="G189" s="10"/>
      <c r="H189" s="25" t="str">
        <f>IFERROR(VLOOKUP(C189,'01_Поставщики'!$A$4:$M$11,2,FALSE()),"")</f>
        <v/>
      </c>
      <c r="I189" s="10"/>
      <c r="J189" s="25" t="str">
        <f>IFERROR(VLOOKUP(C189,'01_Поставщики'!$A$4:$M$11,8,FALSE()),"")</f>
        <v/>
      </c>
      <c r="K189" s="25" t="str">
        <f>IFERROR(VLOOKUP(C189,'01_Поставщики'!$A$4:$M$11,4,FALSE()),"")</f>
        <v/>
      </c>
      <c r="L189" s="25" t="str">
        <f>IFERROR(VLOOKUP(C189,'01_Поставщики'!$A$4:$M$11,10,FALSE()),"")</f>
        <v/>
      </c>
      <c r="M189" s="26" t="str">
        <f>IF(OR(A189="",B189=""),"",IFERROR(SUMIFS('04_Потребность'!$B$4:$B$103,'04_Потребность'!$A$4:$A$103,A189,'04_Потребность'!$C$4:$C$103,B189),0))</f>
        <v/>
      </c>
      <c r="N189" s="11"/>
      <c r="O189" s="10"/>
      <c r="P189" s="10"/>
      <c r="Q189" s="27"/>
      <c r="R189" s="27"/>
      <c r="S189" s="8"/>
      <c r="T189" s="8">
        <f>IFERROR(INDEX('02_Схемы оплаты'!$C$4:$C$19,MATCH($C189&amp;"|"&amp;$G189,'02_Схемы оплаты'!$H$4:$H$19,0)),0)</f>
        <v>0</v>
      </c>
      <c r="U189" s="11"/>
      <c r="V189" s="28"/>
      <c r="W189" s="8"/>
      <c r="X189" s="8">
        <f>IFERROR(INDEX('02_Схемы оплаты'!$D$4:$D$19,MATCH($C189&amp;"|"&amp;$G189,'02_Схемы оплаты'!$H$4:$H$19,0)),0)</f>
        <v>0</v>
      </c>
      <c r="Y189" s="11"/>
      <c r="Z189" s="28"/>
      <c r="AA189" s="8"/>
      <c r="AB189" s="8">
        <f>IFERROR(INDEX('02_Схемы оплаты'!$E$4:$E$19,MATCH($C189&amp;"|"&amp;$G189,'02_Схемы оплаты'!$H$4:$H$19,0)),0)</f>
        <v>0</v>
      </c>
      <c r="AC189" s="11"/>
      <c r="AD189" s="28"/>
      <c r="AE189" s="8"/>
      <c r="AF189" s="10"/>
      <c r="AG189" s="10"/>
      <c r="AH189" s="25">
        <f>IFERROR(SUMIFS('04_Потребность'!$D$4:$D$103,'04_Потребность'!$A$4:$A$103,A189,'04_Потребность'!$C$4:$C$103,B189),0)</f>
        <v>0</v>
      </c>
      <c r="AI189" s="26" t="str">
        <f>IF(OR(A189="",B189=""),"",IFERROR(SUMIFS('04_Потребность'!$E$4:$E$103,'04_Потребность'!$A$4:$A$103,A189,'04_Потребность'!$C$4:$C$103,B189),0))</f>
        <v/>
      </c>
      <c r="AJ189" s="25" t="str">
        <f>IF(OR(A189="",B189=""),"",IFERROR(SUMIFS('04_Потребность'!$F$4:$F$103,'04_Потребность'!$A$4:$A$103,A189,'04_Потребность'!$C$4:$C$103,B189),0))</f>
        <v/>
      </c>
      <c r="AK189" s="29" t="str">
        <f>IF(OR(A189="",B189=""),"",IFERROR(SUMIFS('04_Потребность'!$G$4:$G$103,'04_Потребность'!$A$4:$A$103,A189,'04_Потребность'!$C$4:$C$103,B189),0))</f>
        <v/>
      </c>
      <c r="AL189" s="25" t="str">
        <f>IF('03_Настройки'!$B$7="Нет","Нет",IF(COUNTIFS('04_Потребность'!$A$4:$A$103,A189,'04_Потребность'!$C$4:$C$103,B189,'04_Потребность'!$H$4:$H$103,"Да")&gt;0,"Да","Нет"))</f>
        <v>Нет</v>
      </c>
      <c r="AM189" s="30">
        <f t="shared" si="100"/>
        <v>0</v>
      </c>
      <c r="AN189" s="30">
        <f t="shared" si="101"/>
        <v>0</v>
      </c>
      <c r="AO189" s="29">
        <f t="shared" si="102"/>
        <v>0</v>
      </c>
      <c r="AP189" s="29">
        <f t="shared" si="103"/>
        <v>0</v>
      </c>
      <c r="AQ189" s="29">
        <f t="shared" si="104"/>
        <v>0</v>
      </c>
      <c r="AR189" s="29">
        <f>IFERROR(E189*'03_Настройки'!$B$4/365*(IF(T189&gt;0,T189*V189*(1+W189)*MAX(0,N189-U189),0)+IF(X189&gt;0,X189*Z189*(1+AA189)*MAX(0,N189-Y189),0)+IF(AB189&gt;0,AB189*AD189*(1+AE189)*MAX(0,N189-AC189),0)),0)</f>
        <v>0</v>
      </c>
      <c r="AS189" s="29">
        <f t="shared" si="105"/>
        <v>0</v>
      </c>
      <c r="AT189" s="31">
        <f t="shared" si="106"/>
        <v>0</v>
      </c>
      <c r="AU189" s="31">
        <f t="shared" si="107"/>
        <v>0</v>
      </c>
      <c r="AV189" s="32">
        <f t="shared" si="108"/>
        <v>0</v>
      </c>
      <c r="AW189" s="29" t="e">
        <f t="shared" si="109"/>
        <v>#VALUE!</v>
      </c>
      <c r="AX189" s="29">
        <f t="shared" si="110"/>
        <v>0</v>
      </c>
      <c r="AY189" s="29" t="e">
        <f t="shared" si="111"/>
        <v>#VALUE!</v>
      </c>
      <c r="AZ189" s="25" t="str">
        <f>IF(AND(A189&lt;&gt;"",B189&lt;&gt;"",C189&lt;&gt;"",D189&gt;0,E189&gt;0,N189&lt;&gt;"",AH189&gt;0,O189="Да",P189="Да",BZ189="ПОЛНО",ABS(AN189-1)&lt;='03_Настройки'!$B$5,IF(T189&gt;0,AND(U189&lt;&gt;"",V189&gt;0),TRUE()),IF(X189&gt;0,AND(Y189&lt;&gt;"",Z189&gt;0),TRUE()),IF(AB189&gt;0,AND(AC189&lt;&gt;"",AD189&gt;0),TRUE()),OR(BM189="",BM189="Активна")),"Да","Нет")</f>
        <v>Нет</v>
      </c>
      <c r="BA189" s="25" t="str">
        <f t="shared" si="112"/>
        <v>Нет</v>
      </c>
      <c r="BB189" s="25" t="str">
        <f t="shared" si="113"/>
        <v/>
      </c>
      <c r="BC189" s="25" t="str">
        <f t="shared" si="114"/>
        <v/>
      </c>
      <c r="BD189" s="25" t="str">
        <f t="shared" si="115"/>
        <v/>
      </c>
      <c r="BE189" s="25" t="str">
        <f>IF(A189="","",IF(BZ189&lt;&gt;"ПОЛНО","BLOCK: неполная форма",IF(O189&lt;&gt;"Да","BLOCK: ввоз не разрешён",IF(P189&lt;&gt;"Да","BLOCK: документы не подтверждены",IF(ABS(AN189-1)&gt;'03_Настройки'!$B$5,"BLOCK: платежи не 100%",IF(AND(BM189&lt;&gt;"",BM189&lt;&gt;"Активна"),"BLOCK: позиция "&amp;BM189,IF(BA189&lt;&gt;"Да","PARTIAL: не покрывает потребность",IF(BB189="ДА","самый дешёвый"&amp;IF(BC189="ДА"," + быстрый","")&amp;IF(BD189="ДА"," + optimal",""),IF(BC189="ДА","самый быстрый"&amp;IF(BD189="ДА"," + optimal",""),IF(BD189="ДА","optimal","Допущен"))))))))))</f>
        <v/>
      </c>
      <c r="BF189" s="25">
        <f>ROW()</f>
        <v>189</v>
      </c>
      <c r="BG189" s="33"/>
      <c r="BH189" s="33"/>
      <c r="BI189" s="33"/>
      <c r="BJ189" s="33"/>
      <c r="BK189" s="33"/>
      <c r="BL189" s="34"/>
      <c r="BM189" s="33"/>
      <c r="BN189" s="35" t="str">
        <f t="shared" si="116"/>
        <v/>
      </c>
      <c r="BO189" s="36" t="str">
        <f t="shared" si="117"/>
        <v/>
      </c>
      <c r="BP189" s="33"/>
      <c r="BQ189" s="38"/>
      <c r="BR189" s="13"/>
      <c r="BS189" s="13"/>
      <c r="BT189" s="13"/>
      <c r="BU189" s="13"/>
      <c r="BV189" s="13"/>
      <c r="BW189" s="13"/>
      <c r="BX189" s="39" t="str">
        <f t="shared" si="118"/>
        <v/>
      </c>
      <c r="BY189" s="47"/>
      <c r="BZ189" s="48" t="str">
        <f t="shared" si="119"/>
        <v/>
      </c>
      <c r="CA189" s="47"/>
      <c r="CB189" s="47"/>
      <c r="CC189" s="47"/>
    </row>
    <row r="190" spans="1:81" ht="14.25" x14ac:dyDescent="0.45">
      <c r="A190" s="10"/>
      <c r="B190" s="10"/>
      <c r="C190" s="10"/>
      <c r="D190" s="10"/>
      <c r="E190" s="10"/>
      <c r="F190" s="10"/>
      <c r="G190" s="10"/>
      <c r="H190" s="25" t="str">
        <f>IFERROR(VLOOKUP(C190,'01_Поставщики'!$A$4:$M$11,2,FALSE()),"")</f>
        <v/>
      </c>
      <c r="I190" s="10"/>
      <c r="J190" s="25" t="str">
        <f>IFERROR(VLOOKUP(C190,'01_Поставщики'!$A$4:$M$11,8,FALSE()),"")</f>
        <v/>
      </c>
      <c r="K190" s="25" t="str">
        <f>IFERROR(VLOOKUP(C190,'01_Поставщики'!$A$4:$M$11,4,FALSE()),"")</f>
        <v/>
      </c>
      <c r="L190" s="25" t="str">
        <f>IFERROR(VLOOKUP(C190,'01_Поставщики'!$A$4:$M$11,10,FALSE()),"")</f>
        <v/>
      </c>
      <c r="M190" s="26" t="str">
        <f>IF(OR(A190="",B190=""),"",IFERROR(SUMIFS('04_Потребность'!$B$4:$B$103,'04_Потребность'!$A$4:$A$103,A190,'04_Потребность'!$C$4:$C$103,B190),0))</f>
        <v/>
      </c>
      <c r="N190" s="11"/>
      <c r="O190" s="10"/>
      <c r="P190" s="10"/>
      <c r="Q190" s="27"/>
      <c r="R190" s="27"/>
      <c r="S190" s="8"/>
      <c r="T190" s="8">
        <f>IFERROR(INDEX('02_Схемы оплаты'!$C$4:$C$19,MATCH($C190&amp;"|"&amp;$G190,'02_Схемы оплаты'!$H$4:$H$19,0)),0)</f>
        <v>0</v>
      </c>
      <c r="U190" s="11"/>
      <c r="V190" s="28"/>
      <c r="W190" s="8"/>
      <c r="X190" s="8">
        <f>IFERROR(INDEX('02_Схемы оплаты'!$D$4:$D$19,MATCH($C190&amp;"|"&amp;$G190,'02_Схемы оплаты'!$H$4:$H$19,0)),0)</f>
        <v>0</v>
      </c>
      <c r="Y190" s="11"/>
      <c r="Z190" s="28"/>
      <c r="AA190" s="8"/>
      <c r="AB190" s="8">
        <f>IFERROR(INDEX('02_Схемы оплаты'!$E$4:$E$19,MATCH($C190&amp;"|"&amp;$G190,'02_Схемы оплаты'!$H$4:$H$19,0)),0)</f>
        <v>0</v>
      </c>
      <c r="AC190" s="11"/>
      <c r="AD190" s="28"/>
      <c r="AE190" s="8"/>
      <c r="AF190" s="10"/>
      <c r="AG190" s="10"/>
      <c r="AH190" s="25">
        <f>IFERROR(SUMIFS('04_Потребность'!$D$4:$D$103,'04_Потребность'!$A$4:$A$103,A190,'04_Потребность'!$C$4:$C$103,B190),0)</f>
        <v>0</v>
      </c>
      <c r="AI190" s="26" t="str">
        <f>IF(OR(A190="",B190=""),"",IFERROR(SUMIFS('04_Потребность'!$E$4:$E$103,'04_Потребность'!$A$4:$A$103,A190,'04_Потребность'!$C$4:$C$103,B190),0))</f>
        <v/>
      </c>
      <c r="AJ190" s="25" t="str">
        <f>IF(OR(A190="",B190=""),"",IFERROR(SUMIFS('04_Потребность'!$F$4:$F$103,'04_Потребность'!$A$4:$A$103,A190,'04_Потребность'!$C$4:$C$103,B190),0))</f>
        <v/>
      </c>
      <c r="AK190" s="29" t="str">
        <f>IF(OR(A190="",B190=""),"",IFERROR(SUMIFS('04_Потребность'!$G$4:$G$103,'04_Потребность'!$A$4:$A$103,A190,'04_Потребность'!$C$4:$C$103,B190),0))</f>
        <v/>
      </c>
      <c r="AL190" s="25" t="str">
        <f>IF('03_Настройки'!$B$7="Нет","Нет",IF(COUNTIFS('04_Потребность'!$A$4:$A$103,A190,'04_Потребность'!$C$4:$C$103,B190,'04_Потребность'!$H$4:$H$103,"Да")&gt;0,"Да","Нет"))</f>
        <v>Нет</v>
      </c>
      <c r="AM190" s="30">
        <f t="shared" si="100"/>
        <v>0</v>
      </c>
      <c r="AN190" s="30">
        <f t="shared" si="101"/>
        <v>0</v>
      </c>
      <c r="AO190" s="29">
        <f t="shared" si="102"/>
        <v>0</v>
      </c>
      <c r="AP190" s="29">
        <f t="shared" si="103"/>
        <v>0</v>
      </c>
      <c r="AQ190" s="29">
        <f t="shared" si="104"/>
        <v>0</v>
      </c>
      <c r="AR190" s="29">
        <f>IFERROR(E190*'03_Настройки'!$B$4/365*(IF(T190&gt;0,T190*V190*(1+W190)*MAX(0,N190-U190),0)+IF(X190&gt;0,X190*Z190*(1+AA190)*MAX(0,N190-Y190),0)+IF(AB190&gt;0,AB190*AD190*(1+AE190)*MAX(0,N190-AC190),0)),0)</f>
        <v>0</v>
      </c>
      <c r="AS190" s="29">
        <f t="shared" si="105"/>
        <v>0</v>
      </c>
      <c r="AT190" s="31">
        <f t="shared" si="106"/>
        <v>0</v>
      </c>
      <c r="AU190" s="31">
        <f t="shared" si="107"/>
        <v>0</v>
      </c>
      <c r="AV190" s="32">
        <f t="shared" si="108"/>
        <v>0</v>
      </c>
      <c r="AW190" s="29" t="e">
        <f t="shared" si="109"/>
        <v>#VALUE!</v>
      </c>
      <c r="AX190" s="29">
        <f t="shared" si="110"/>
        <v>0</v>
      </c>
      <c r="AY190" s="29" t="e">
        <f t="shared" si="111"/>
        <v>#VALUE!</v>
      </c>
      <c r="AZ190" s="25" t="str">
        <f>IF(AND(A190&lt;&gt;"",B190&lt;&gt;"",C190&lt;&gt;"",D190&gt;0,E190&gt;0,N190&lt;&gt;"",AH190&gt;0,O190="Да",P190="Да",BZ190="ПОЛНО",ABS(AN190-1)&lt;='03_Настройки'!$B$5,IF(T190&gt;0,AND(U190&lt;&gt;"",V190&gt;0),TRUE()),IF(X190&gt;0,AND(Y190&lt;&gt;"",Z190&gt;0),TRUE()),IF(AB190&gt;0,AND(AC190&lt;&gt;"",AD190&gt;0),TRUE()),OR(BM190="",BM190="Активна")),"Да","Нет")</f>
        <v>Нет</v>
      </c>
      <c r="BA190" s="25" t="str">
        <f t="shared" si="112"/>
        <v>Нет</v>
      </c>
      <c r="BB190" s="25" t="str">
        <f t="shared" si="113"/>
        <v/>
      </c>
      <c r="BC190" s="25" t="str">
        <f t="shared" si="114"/>
        <v/>
      </c>
      <c r="BD190" s="25" t="str">
        <f t="shared" si="115"/>
        <v/>
      </c>
      <c r="BE190" s="25" t="str">
        <f>IF(A190="","",IF(BZ190&lt;&gt;"ПОЛНО","BLOCK: неполная форма",IF(O190&lt;&gt;"Да","BLOCK: ввоз не разрешён",IF(P190&lt;&gt;"Да","BLOCK: документы не подтверждены",IF(ABS(AN190-1)&gt;'03_Настройки'!$B$5,"BLOCK: платежи не 100%",IF(AND(BM190&lt;&gt;"",BM190&lt;&gt;"Активна"),"BLOCK: позиция "&amp;BM190,IF(BA190&lt;&gt;"Да","PARTIAL: не покрывает потребность",IF(BB190="ДА","самый дешёвый"&amp;IF(BC190="ДА"," + быстрый","")&amp;IF(BD190="ДА"," + optimal",""),IF(BC190="ДА","самый быстрый"&amp;IF(BD190="ДА"," + optimal",""),IF(BD190="ДА","optimal","Допущен"))))))))))</f>
        <v/>
      </c>
      <c r="BF190" s="25">
        <f>ROW()</f>
        <v>190</v>
      </c>
      <c r="BG190" s="33"/>
      <c r="BH190" s="33"/>
      <c r="BI190" s="33"/>
      <c r="BJ190" s="33"/>
      <c r="BK190" s="33"/>
      <c r="BL190" s="34"/>
      <c r="BM190" s="33"/>
      <c r="BN190" s="35" t="str">
        <f t="shared" si="116"/>
        <v/>
      </c>
      <c r="BO190" s="36" t="str">
        <f t="shared" si="117"/>
        <v/>
      </c>
      <c r="BP190" s="33"/>
      <c r="BQ190" s="38"/>
      <c r="BR190" s="13"/>
      <c r="BS190" s="13"/>
      <c r="BT190" s="13"/>
      <c r="BU190" s="13"/>
      <c r="BV190" s="13"/>
      <c r="BW190" s="13"/>
      <c r="BX190" s="39" t="str">
        <f t="shared" si="118"/>
        <v/>
      </c>
      <c r="BY190" s="47"/>
      <c r="BZ190" s="48" t="str">
        <f t="shared" si="119"/>
        <v/>
      </c>
      <c r="CA190" s="47"/>
      <c r="CB190" s="47"/>
      <c r="CC190" s="47"/>
    </row>
    <row r="191" spans="1:81" ht="14.25" x14ac:dyDescent="0.45">
      <c r="A191" s="10"/>
      <c r="B191" s="10"/>
      <c r="C191" s="10"/>
      <c r="D191" s="10"/>
      <c r="E191" s="10"/>
      <c r="F191" s="10"/>
      <c r="G191" s="10"/>
      <c r="H191" s="25" t="str">
        <f>IFERROR(VLOOKUP(C191,'01_Поставщики'!$A$4:$M$11,2,FALSE()),"")</f>
        <v/>
      </c>
      <c r="I191" s="10"/>
      <c r="J191" s="25" t="str">
        <f>IFERROR(VLOOKUP(C191,'01_Поставщики'!$A$4:$M$11,8,FALSE()),"")</f>
        <v/>
      </c>
      <c r="K191" s="25" t="str">
        <f>IFERROR(VLOOKUP(C191,'01_Поставщики'!$A$4:$M$11,4,FALSE()),"")</f>
        <v/>
      </c>
      <c r="L191" s="25" t="str">
        <f>IFERROR(VLOOKUP(C191,'01_Поставщики'!$A$4:$M$11,10,FALSE()),"")</f>
        <v/>
      </c>
      <c r="M191" s="26" t="str">
        <f>IF(OR(A191="",B191=""),"",IFERROR(SUMIFS('04_Потребность'!$B$4:$B$103,'04_Потребность'!$A$4:$A$103,A191,'04_Потребность'!$C$4:$C$103,B191),0))</f>
        <v/>
      </c>
      <c r="N191" s="11"/>
      <c r="O191" s="10"/>
      <c r="P191" s="10"/>
      <c r="Q191" s="27"/>
      <c r="R191" s="27"/>
      <c r="S191" s="8"/>
      <c r="T191" s="8">
        <f>IFERROR(INDEX('02_Схемы оплаты'!$C$4:$C$19,MATCH($C191&amp;"|"&amp;$G191,'02_Схемы оплаты'!$H$4:$H$19,0)),0)</f>
        <v>0</v>
      </c>
      <c r="U191" s="11"/>
      <c r="V191" s="28"/>
      <c r="W191" s="8"/>
      <c r="X191" s="8">
        <f>IFERROR(INDEX('02_Схемы оплаты'!$D$4:$D$19,MATCH($C191&amp;"|"&amp;$G191,'02_Схемы оплаты'!$H$4:$H$19,0)),0)</f>
        <v>0</v>
      </c>
      <c r="Y191" s="11"/>
      <c r="Z191" s="28"/>
      <c r="AA191" s="8"/>
      <c r="AB191" s="8">
        <f>IFERROR(INDEX('02_Схемы оплаты'!$E$4:$E$19,MATCH($C191&amp;"|"&amp;$G191,'02_Схемы оплаты'!$H$4:$H$19,0)),0)</f>
        <v>0</v>
      </c>
      <c r="AC191" s="11"/>
      <c r="AD191" s="28"/>
      <c r="AE191" s="8"/>
      <c r="AF191" s="10"/>
      <c r="AG191" s="10"/>
      <c r="AH191" s="25">
        <f>IFERROR(SUMIFS('04_Потребность'!$D$4:$D$103,'04_Потребность'!$A$4:$A$103,A191,'04_Потребность'!$C$4:$C$103,B191),0)</f>
        <v>0</v>
      </c>
      <c r="AI191" s="26" t="str">
        <f>IF(OR(A191="",B191=""),"",IFERROR(SUMIFS('04_Потребность'!$E$4:$E$103,'04_Потребность'!$A$4:$A$103,A191,'04_Потребность'!$C$4:$C$103,B191),0))</f>
        <v/>
      </c>
      <c r="AJ191" s="25" t="str">
        <f>IF(OR(A191="",B191=""),"",IFERROR(SUMIFS('04_Потребность'!$F$4:$F$103,'04_Потребность'!$A$4:$A$103,A191,'04_Потребность'!$C$4:$C$103,B191),0))</f>
        <v/>
      </c>
      <c r="AK191" s="29" t="str">
        <f>IF(OR(A191="",B191=""),"",IFERROR(SUMIFS('04_Потребность'!$G$4:$G$103,'04_Потребность'!$A$4:$A$103,A191,'04_Потребность'!$C$4:$C$103,B191),0))</f>
        <v/>
      </c>
      <c r="AL191" s="25" t="str">
        <f>IF('03_Настройки'!$B$7="Нет","Нет",IF(COUNTIFS('04_Потребность'!$A$4:$A$103,A191,'04_Потребность'!$C$4:$C$103,B191,'04_Потребность'!$H$4:$H$103,"Да")&gt;0,"Да","Нет"))</f>
        <v>Нет</v>
      </c>
      <c r="AM191" s="30">
        <f t="shared" si="100"/>
        <v>0</v>
      </c>
      <c r="AN191" s="30">
        <f t="shared" si="101"/>
        <v>0</v>
      </c>
      <c r="AO191" s="29">
        <f t="shared" si="102"/>
        <v>0</v>
      </c>
      <c r="AP191" s="29">
        <f t="shared" si="103"/>
        <v>0</v>
      </c>
      <c r="AQ191" s="29">
        <f t="shared" si="104"/>
        <v>0</v>
      </c>
      <c r="AR191" s="29">
        <f>IFERROR(E191*'03_Настройки'!$B$4/365*(IF(T191&gt;0,T191*V191*(1+W191)*MAX(0,N191-U191),0)+IF(X191&gt;0,X191*Z191*(1+AA191)*MAX(0,N191-Y191),0)+IF(AB191&gt;0,AB191*AD191*(1+AE191)*MAX(0,N191-AC191),0)),0)</f>
        <v>0</v>
      </c>
      <c r="AS191" s="29">
        <f t="shared" si="105"/>
        <v>0</v>
      </c>
      <c r="AT191" s="31">
        <f t="shared" si="106"/>
        <v>0</v>
      </c>
      <c r="AU191" s="31">
        <f t="shared" si="107"/>
        <v>0</v>
      </c>
      <c r="AV191" s="32">
        <f t="shared" si="108"/>
        <v>0</v>
      </c>
      <c r="AW191" s="29" t="e">
        <f t="shared" si="109"/>
        <v>#VALUE!</v>
      </c>
      <c r="AX191" s="29">
        <f t="shared" si="110"/>
        <v>0</v>
      </c>
      <c r="AY191" s="29" t="e">
        <f t="shared" si="111"/>
        <v>#VALUE!</v>
      </c>
      <c r="AZ191" s="25" t="str">
        <f>IF(AND(A191&lt;&gt;"",B191&lt;&gt;"",C191&lt;&gt;"",D191&gt;0,E191&gt;0,N191&lt;&gt;"",AH191&gt;0,O191="Да",P191="Да",BZ191="ПОЛНО",ABS(AN191-1)&lt;='03_Настройки'!$B$5,IF(T191&gt;0,AND(U191&lt;&gt;"",V191&gt;0),TRUE()),IF(X191&gt;0,AND(Y191&lt;&gt;"",Z191&gt;0),TRUE()),IF(AB191&gt;0,AND(AC191&lt;&gt;"",AD191&gt;0),TRUE()),OR(BM191="",BM191="Активна")),"Да","Нет")</f>
        <v>Нет</v>
      </c>
      <c r="BA191" s="25" t="str">
        <f t="shared" si="112"/>
        <v>Нет</v>
      </c>
      <c r="BB191" s="25" t="str">
        <f t="shared" si="113"/>
        <v/>
      </c>
      <c r="BC191" s="25" t="str">
        <f t="shared" si="114"/>
        <v/>
      </c>
      <c r="BD191" s="25" t="str">
        <f t="shared" si="115"/>
        <v/>
      </c>
      <c r="BE191" s="25" t="str">
        <f>IF(A191="","",IF(BZ191&lt;&gt;"ПОЛНО","BLOCK: неполная форма",IF(O191&lt;&gt;"Да","BLOCK: ввоз не разрешён",IF(P191&lt;&gt;"Да","BLOCK: документы не подтверждены",IF(ABS(AN191-1)&gt;'03_Настройки'!$B$5,"BLOCK: платежи не 100%",IF(AND(BM191&lt;&gt;"",BM191&lt;&gt;"Активна"),"BLOCK: позиция "&amp;BM191,IF(BA191&lt;&gt;"Да","PARTIAL: не покрывает потребность",IF(BB191="ДА","самый дешёвый"&amp;IF(BC191="ДА"," + быстрый","")&amp;IF(BD191="ДА"," + optimal",""),IF(BC191="ДА","самый быстрый"&amp;IF(BD191="ДА"," + optimal",""),IF(BD191="ДА","optimal","Допущен"))))))))))</f>
        <v/>
      </c>
      <c r="BF191" s="25">
        <f>ROW()</f>
        <v>191</v>
      </c>
      <c r="BG191" s="33"/>
      <c r="BH191" s="33"/>
      <c r="BI191" s="33"/>
      <c r="BJ191" s="33"/>
      <c r="BK191" s="33"/>
      <c r="BL191" s="34"/>
      <c r="BM191" s="33"/>
      <c r="BN191" s="35" t="str">
        <f t="shared" si="116"/>
        <v/>
      </c>
      <c r="BO191" s="36" t="str">
        <f t="shared" si="117"/>
        <v/>
      </c>
      <c r="BP191" s="33"/>
      <c r="BQ191" s="38"/>
      <c r="BR191" s="13"/>
      <c r="BS191" s="13"/>
      <c r="BT191" s="13"/>
      <c r="BU191" s="13"/>
      <c r="BV191" s="13"/>
      <c r="BW191" s="13"/>
      <c r="BX191" s="39" t="str">
        <f t="shared" si="118"/>
        <v/>
      </c>
      <c r="BY191" s="47"/>
      <c r="BZ191" s="48" t="str">
        <f t="shared" si="119"/>
        <v/>
      </c>
      <c r="CA191" s="47"/>
      <c r="CB191" s="47"/>
      <c r="CC191" s="47"/>
    </row>
    <row r="192" spans="1:81" ht="14.25" x14ac:dyDescent="0.45">
      <c r="A192" s="10"/>
      <c r="B192" s="10"/>
      <c r="C192" s="10"/>
      <c r="D192" s="10"/>
      <c r="E192" s="10"/>
      <c r="F192" s="10"/>
      <c r="G192" s="10"/>
      <c r="H192" s="25" t="str">
        <f>IFERROR(VLOOKUP(C192,'01_Поставщики'!$A$4:$M$11,2,FALSE()),"")</f>
        <v/>
      </c>
      <c r="I192" s="10"/>
      <c r="J192" s="25" t="str">
        <f>IFERROR(VLOOKUP(C192,'01_Поставщики'!$A$4:$M$11,8,FALSE()),"")</f>
        <v/>
      </c>
      <c r="K192" s="25" t="str">
        <f>IFERROR(VLOOKUP(C192,'01_Поставщики'!$A$4:$M$11,4,FALSE()),"")</f>
        <v/>
      </c>
      <c r="L192" s="25" t="str">
        <f>IFERROR(VLOOKUP(C192,'01_Поставщики'!$A$4:$M$11,10,FALSE()),"")</f>
        <v/>
      </c>
      <c r="M192" s="26" t="str">
        <f>IF(OR(A192="",B192=""),"",IFERROR(SUMIFS('04_Потребность'!$B$4:$B$103,'04_Потребность'!$A$4:$A$103,A192,'04_Потребность'!$C$4:$C$103,B192),0))</f>
        <v/>
      </c>
      <c r="N192" s="11"/>
      <c r="O192" s="10"/>
      <c r="P192" s="10"/>
      <c r="Q192" s="27"/>
      <c r="R192" s="27"/>
      <c r="S192" s="8"/>
      <c r="T192" s="8">
        <f>IFERROR(INDEX('02_Схемы оплаты'!$C$4:$C$19,MATCH($C192&amp;"|"&amp;$G192,'02_Схемы оплаты'!$H$4:$H$19,0)),0)</f>
        <v>0</v>
      </c>
      <c r="U192" s="11"/>
      <c r="V192" s="28"/>
      <c r="W192" s="8"/>
      <c r="X192" s="8">
        <f>IFERROR(INDEX('02_Схемы оплаты'!$D$4:$D$19,MATCH($C192&amp;"|"&amp;$G192,'02_Схемы оплаты'!$H$4:$H$19,0)),0)</f>
        <v>0</v>
      </c>
      <c r="Y192" s="11"/>
      <c r="Z192" s="28"/>
      <c r="AA192" s="8"/>
      <c r="AB192" s="8">
        <f>IFERROR(INDEX('02_Схемы оплаты'!$E$4:$E$19,MATCH($C192&amp;"|"&amp;$G192,'02_Схемы оплаты'!$H$4:$H$19,0)),0)</f>
        <v>0</v>
      </c>
      <c r="AC192" s="11"/>
      <c r="AD192" s="28"/>
      <c r="AE192" s="8"/>
      <c r="AF192" s="10"/>
      <c r="AG192" s="10"/>
      <c r="AH192" s="25">
        <f>IFERROR(SUMIFS('04_Потребность'!$D$4:$D$103,'04_Потребность'!$A$4:$A$103,A192,'04_Потребность'!$C$4:$C$103,B192),0)</f>
        <v>0</v>
      </c>
      <c r="AI192" s="26" t="str">
        <f>IF(OR(A192="",B192=""),"",IFERROR(SUMIFS('04_Потребность'!$E$4:$E$103,'04_Потребность'!$A$4:$A$103,A192,'04_Потребность'!$C$4:$C$103,B192),0))</f>
        <v/>
      </c>
      <c r="AJ192" s="25" t="str">
        <f>IF(OR(A192="",B192=""),"",IFERROR(SUMIFS('04_Потребность'!$F$4:$F$103,'04_Потребность'!$A$4:$A$103,A192,'04_Потребность'!$C$4:$C$103,B192),0))</f>
        <v/>
      </c>
      <c r="AK192" s="29" t="str">
        <f>IF(OR(A192="",B192=""),"",IFERROR(SUMIFS('04_Потребность'!$G$4:$G$103,'04_Потребность'!$A$4:$A$103,A192,'04_Потребность'!$C$4:$C$103,B192),0))</f>
        <v/>
      </c>
      <c r="AL192" s="25" t="str">
        <f>IF('03_Настройки'!$B$7="Нет","Нет",IF(COUNTIFS('04_Потребность'!$A$4:$A$103,A192,'04_Потребность'!$C$4:$C$103,B192,'04_Потребность'!$H$4:$H$103,"Да")&gt;0,"Да","Нет"))</f>
        <v>Нет</v>
      </c>
      <c r="AM192" s="30">
        <f t="shared" si="100"/>
        <v>0</v>
      </c>
      <c r="AN192" s="30">
        <f t="shared" si="101"/>
        <v>0</v>
      </c>
      <c r="AO192" s="29">
        <f t="shared" si="102"/>
        <v>0</v>
      </c>
      <c r="AP192" s="29">
        <f t="shared" si="103"/>
        <v>0</v>
      </c>
      <c r="AQ192" s="29">
        <f t="shared" si="104"/>
        <v>0</v>
      </c>
      <c r="AR192" s="29">
        <f>IFERROR(E192*'03_Настройки'!$B$4/365*(IF(T192&gt;0,T192*V192*(1+W192)*MAX(0,N192-U192),0)+IF(X192&gt;0,X192*Z192*(1+AA192)*MAX(0,N192-Y192),0)+IF(AB192&gt;0,AB192*AD192*(1+AE192)*MAX(0,N192-AC192),0)),0)</f>
        <v>0</v>
      </c>
      <c r="AS192" s="29">
        <f t="shared" si="105"/>
        <v>0</v>
      </c>
      <c r="AT192" s="31">
        <f t="shared" si="106"/>
        <v>0</v>
      </c>
      <c r="AU192" s="31">
        <f t="shared" si="107"/>
        <v>0</v>
      </c>
      <c r="AV192" s="32">
        <f t="shared" si="108"/>
        <v>0</v>
      </c>
      <c r="AW192" s="29" t="e">
        <f t="shared" si="109"/>
        <v>#VALUE!</v>
      </c>
      <c r="AX192" s="29">
        <f t="shared" si="110"/>
        <v>0</v>
      </c>
      <c r="AY192" s="29" t="e">
        <f t="shared" si="111"/>
        <v>#VALUE!</v>
      </c>
      <c r="AZ192" s="25" t="str">
        <f>IF(AND(A192&lt;&gt;"",B192&lt;&gt;"",C192&lt;&gt;"",D192&gt;0,E192&gt;0,N192&lt;&gt;"",AH192&gt;0,O192="Да",P192="Да",BZ192="ПОЛНО",ABS(AN192-1)&lt;='03_Настройки'!$B$5,IF(T192&gt;0,AND(U192&lt;&gt;"",V192&gt;0),TRUE()),IF(X192&gt;0,AND(Y192&lt;&gt;"",Z192&gt;0),TRUE()),IF(AB192&gt;0,AND(AC192&lt;&gt;"",AD192&gt;0),TRUE()),OR(BM192="",BM192="Активна")),"Да","Нет")</f>
        <v>Нет</v>
      </c>
      <c r="BA192" s="25" t="str">
        <f t="shared" si="112"/>
        <v>Нет</v>
      </c>
      <c r="BB192" s="25" t="str">
        <f t="shared" si="113"/>
        <v/>
      </c>
      <c r="BC192" s="25" t="str">
        <f t="shared" si="114"/>
        <v/>
      </c>
      <c r="BD192" s="25" t="str">
        <f t="shared" si="115"/>
        <v/>
      </c>
      <c r="BE192" s="25" t="str">
        <f>IF(A192="","",IF(BZ192&lt;&gt;"ПОЛНО","BLOCK: неполная форма",IF(O192&lt;&gt;"Да","BLOCK: ввоз не разрешён",IF(P192&lt;&gt;"Да","BLOCK: документы не подтверждены",IF(ABS(AN192-1)&gt;'03_Настройки'!$B$5,"BLOCK: платежи не 100%",IF(AND(BM192&lt;&gt;"",BM192&lt;&gt;"Активна"),"BLOCK: позиция "&amp;BM192,IF(BA192&lt;&gt;"Да","PARTIAL: не покрывает потребность",IF(BB192="ДА","самый дешёвый"&amp;IF(BC192="ДА"," + быстрый","")&amp;IF(BD192="ДА"," + optimal",""),IF(BC192="ДА","самый быстрый"&amp;IF(BD192="ДА"," + optimal",""),IF(BD192="ДА","optimal","Допущен"))))))))))</f>
        <v/>
      </c>
      <c r="BF192" s="25">
        <f>ROW()</f>
        <v>192</v>
      </c>
      <c r="BG192" s="33"/>
      <c r="BH192" s="33"/>
      <c r="BI192" s="33"/>
      <c r="BJ192" s="33"/>
      <c r="BK192" s="33"/>
      <c r="BL192" s="34"/>
      <c r="BM192" s="33"/>
      <c r="BN192" s="35" t="str">
        <f t="shared" si="116"/>
        <v/>
      </c>
      <c r="BO192" s="36" t="str">
        <f t="shared" si="117"/>
        <v/>
      </c>
      <c r="BP192" s="33"/>
      <c r="BQ192" s="38"/>
      <c r="BR192" s="13"/>
      <c r="BS192" s="13"/>
      <c r="BT192" s="13"/>
      <c r="BU192" s="13"/>
      <c r="BV192" s="13"/>
      <c r="BW192" s="13"/>
      <c r="BX192" s="39" t="str">
        <f t="shared" si="118"/>
        <v/>
      </c>
      <c r="BY192" s="47"/>
      <c r="BZ192" s="48" t="str">
        <f t="shared" si="119"/>
        <v/>
      </c>
      <c r="CA192" s="47"/>
      <c r="CB192" s="47"/>
      <c r="CC192" s="47"/>
    </row>
    <row r="193" spans="1:81" ht="14.25" x14ac:dyDescent="0.45">
      <c r="A193" s="10"/>
      <c r="B193" s="10"/>
      <c r="C193" s="10"/>
      <c r="D193" s="10"/>
      <c r="E193" s="10"/>
      <c r="F193" s="10"/>
      <c r="G193" s="10"/>
      <c r="H193" s="25" t="str">
        <f>IFERROR(VLOOKUP(C193,'01_Поставщики'!$A$4:$M$11,2,FALSE()),"")</f>
        <v/>
      </c>
      <c r="I193" s="10"/>
      <c r="J193" s="25" t="str">
        <f>IFERROR(VLOOKUP(C193,'01_Поставщики'!$A$4:$M$11,8,FALSE()),"")</f>
        <v/>
      </c>
      <c r="K193" s="25" t="str">
        <f>IFERROR(VLOOKUP(C193,'01_Поставщики'!$A$4:$M$11,4,FALSE()),"")</f>
        <v/>
      </c>
      <c r="L193" s="25" t="str">
        <f>IFERROR(VLOOKUP(C193,'01_Поставщики'!$A$4:$M$11,10,FALSE()),"")</f>
        <v/>
      </c>
      <c r="M193" s="26" t="str">
        <f>IF(OR(A193="",B193=""),"",IFERROR(SUMIFS('04_Потребность'!$B$4:$B$103,'04_Потребность'!$A$4:$A$103,A193,'04_Потребность'!$C$4:$C$103,B193),0))</f>
        <v/>
      </c>
      <c r="N193" s="11"/>
      <c r="O193" s="10"/>
      <c r="P193" s="10"/>
      <c r="Q193" s="27"/>
      <c r="R193" s="27"/>
      <c r="S193" s="8"/>
      <c r="T193" s="8">
        <f>IFERROR(INDEX('02_Схемы оплаты'!$C$4:$C$19,MATCH($C193&amp;"|"&amp;$G193,'02_Схемы оплаты'!$H$4:$H$19,0)),0)</f>
        <v>0</v>
      </c>
      <c r="U193" s="11"/>
      <c r="V193" s="28"/>
      <c r="W193" s="8"/>
      <c r="X193" s="8">
        <f>IFERROR(INDEX('02_Схемы оплаты'!$D$4:$D$19,MATCH($C193&amp;"|"&amp;$G193,'02_Схемы оплаты'!$H$4:$H$19,0)),0)</f>
        <v>0</v>
      </c>
      <c r="Y193" s="11"/>
      <c r="Z193" s="28"/>
      <c r="AA193" s="8"/>
      <c r="AB193" s="8">
        <f>IFERROR(INDEX('02_Схемы оплаты'!$E$4:$E$19,MATCH($C193&amp;"|"&amp;$G193,'02_Схемы оплаты'!$H$4:$H$19,0)),0)</f>
        <v>0</v>
      </c>
      <c r="AC193" s="11"/>
      <c r="AD193" s="28"/>
      <c r="AE193" s="8"/>
      <c r="AF193" s="10"/>
      <c r="AG193" s="10"/>
      <c r="AH193" s="25">
        <f>IFERROR(SUMIFS('04_Потребность'!$D$4:$D$103,'04_Потребность'!$A$4:$A$103,A193,'04_Потребность'!$C$4:$C$103,B193),0)</f>
        <v>0</v>
      </c>
      <c r="AI193" s="26" t="str">
        <f>IF(OR(A193="",B193=""),"",IFERROR(SUMIFS('04_Потребность'!$E$4:$E$103,'04_Потребность'!$A$4:$A$103,A193,'04_Потребность'!$C$4:$C$103,B193),0))</f>
        <v/>
      </c>
      <c r="AJ193" s="25" t="str">
        <f>IF(OR(A193="",B193=""),"",IFERROR(SUMIFS('04_Потребность'!$F$4:$F$103,'04_Потребность'!$A$4:$A$103,A193,'04_Потребность'!$C$4:$C$103,B193),0))</f>
        <v/>
      </c>
      <c r="AK193" s="29" t="str">
        <f>IF(OR(A193="",B193=""),"",IFERROR(SUMIFS('04_Потребность'!$G$4:$G$103,'04_Потребность'!$A$4:$A$103,A193,'04_Потребность'!$C$4:$C$103,B193),0))</f>
        <v/>
      </c>
      <c r="AL193" s="25" t="str">
        <f>IF('03_Настройки'!$B$7="Нет","Нет",IF(COUNTIFS('04_Потребность'!$A$4:$A$103,A193,'04_Потребность'!$C$4:$C$103,B193,'04_Потребность'!$H$4:$H$103,"Да")&gt;0,"Да","Нет"))</f>
        <v>Нет</v>
      </c>
      <c r="AM193" s="30">
        <f t="shared" si="100"/>
        <v>0</v>
      </c>
      <c r="AN193" s="30">
        <f t="shared" si="101"/>
        <v>0</v>
      </c>
      <c r="AO193" s="29">
        <f t="shared" si="102"/>
        <v>0</v>
      </c>
      <c r="AP193" s="29">
        <f t="shared" si="103"/>
        <v>0</v>
      </c>
      <c r="AQ193" s="29">
        <f t="shared" si="104"/>
        <v>0</v>
      </c>
      <c r="AR193" s="29">
        <f>IFERROR(E193*'03_Настройки'!$B$4/365*(IF(T193&gt;0,T193*V193*(1+W193)*MAX(0,N193-U193),0)+IF(X193&gt;0,X193*Z193*(1+AA193)*MAX(0,N193-Y193),0)+IF(AB193&gt;0,AB193*AD193*(1+AE193)*MAX(0,N193-AC193),0)),0)</f>
        <v>0</v>
      </c>
      <c r="AS193" s="29">
        <f t="shared" si="105"/>
        <v>0</v>
      </c>
      <c r="AT193" s="31">
        <f t="shared" si="106"/>
        <v>0</v>
      </c>
      <c r="AU193" s="31">
        <f t="shared" si="107"/>
        <v>0</v>
      </c>
      <c r="AV193" s="32">
        <f t="shared" si="108"/>
        <v>0</v>
      </c>
      <c r="AW193" s="29" t="e">
        <f t="shared" si="109"/>
        <v>#VALUE!</v>
      </c>
      <c r="AX193" s="29">
        <f t="shared" si="110"/>
        <v>0</v>
      </c>
      <c r="AY193" s="29" t="e">
        <f t="shared" si="111"/>
        <v>#VALUE!</v>
      </c>
      <c r="AZ193" s="25" t="str">
        <f>IF(AND(A193&lt;&gt;"",B193&lt;&gt;"",C193&lt;&gt;"",D193&gt;0,E193&gt;0,N193&lt;&gt;"",AH193&gt;0,O193="Да",P193="Да",BZ193="ПОЛНО",ABS(AN193-1)&lt;='03_Настройки'!$B$5,IF(T193&gt;0,AND(U193&lt;&gt;"",V193&gt;0),TRUE()),IF(X193&gt;0,AND(Y193&lt;&gt;"",Z193&gt;0),TRUE()),IF(AB193&gt;0,AND(AC193&lt;&gt;"",AD193&gt;0),TRUE()),OR(BM193="",BM193="Активна")),"Да","Нет")</f>
        <v>Нет</v>
      </c>
      <c r="BA193" s="25" t="str">
        <f t="shared" si="112"/>
        <v>Нет</v>
      </c>
      <c r="BB193" s="25" t="str">
        <f t="shared" si="113"/>
        <v/>
      </c>
      <c r="BC193" s="25" t="str">
        <f t="shared" si="114"/>
        <v/>
      </c>
      <c r="BD193" s="25" t="str">
        <f t="shared" si="115"/>
        <v/>
      </c>
      <c r="BE193" s="25" t="str">
        <f>IF(A193="","",IF(BZ193&lt;&gt;"ПОЛНО","BLOCK: неполная форма",IF(O193&lt;&gt;"Да","BLOCK: ввоз не разрешён",IF(P193&lt;&gt;"Да","BLOCK: документы не подтверждены",IF(ABS(AN193-1)&gt;'03_Настройки'!$B$5,"BLOCK: платежи не 100%",IF(AND(BM193&lt;&gt;"",BM193&lt;&gt;"Активна"),"BLOCK: позиция "&amp;BM193,IF(BA193&lt;&gt;"Да","PARTIAL: не покрывает потребность",IF(BB193="ДА","самый дешёвый"&amp;IF(BC193="ДА"," + быстрый","")&amp;IF(BD193="ДА"," + optimal",""),IF(BC193="ДА","самый быстрый"&amp;IF(BD193="ДА"," + optimal",""),IF(BD193="ДА","optimal","Допущен"))))))))))</f>
        <v/>
      </c>
      <c r="BF193" s="25">
        <f>ROW()</f>
        <v>193</v>
      </c>
      <c r="BG193" s="33"/>
      <c r="BH193" s="33"/>
      <c r="BI193" s="33"/>
      <c r="BJ193" s="33"/>
      <c r="BK193" s="33"/>
      <c r="BL193" s="34"/>
      <c r="BM193" s="33"/>
      <c r="BN193" s="35" t="str">
        <f t="shared" si="116"/>
        <v/>
      </c>
      <c r="BO193" s="36" t="str">
        <f t="shared" si="117"/>
        <v/>
      </c>
      <c r="BP193" s="33"/>
      <c r="BQ193" s="38"/>
      <c r="BR193" s="13"/>
      <c r="BS193" s="13"/>
      <c r="BT193" s="13"/>
      <c r="BU193" s="13"/>
      <c r="BV193" s="13"/>
      <c r="BW193" s="13"/>
      <c r="BX193" s="39" t="str">
        <f t="shared" si="118"/>
        <v/>
      </c>
      <c r="BY193" s="47"/>
      <c r="BZ193" s="48" t="str">
        <f t="shared" si="119"/>
        <v/>
      </c>
      <c r="CA193" s="47"/>
      <c r="CB193" s="47"/>
      <c r="CC193" s="47"/>
    </row>
    <row r="194" spans="1:81" ht="14.25" x14ac:dyDescent="0.45">
      <c r="A194" s="10"/>
      <c r="B194" s="10"/>
      <c r="C194" s="10"/>
      <c r="D194" s="10"/>
      <c r="E194" s="10"/>
      <c r="F194" s="10"/>
      <c r="G194" s="10"/>
      <c r="H194" s="25" t="str">
        <f>IFERROR(VLOOKUP(C194,'01_Поставщики'!$A$4:$M$11,2,FALSE()),"")</f>
        <v/>
      </c>
      <c r="I194" s="10"/>
      <c r="J194" s="25" t="str">
        <f>IFERROR(VLOOKUP(C194,'01_Поставщики'!$A$4:$M$11,8,FALSE()),"")</f>
        <v/>
      </c>
      <c r="K194" s="25" t="str">
        <f>IFERROR(VLOOKUP(C194,'01_Поставщики'!$A$4:$M$11,4,FALSE()),"")</f>
        <v/>
      </c>
      <c r="L194" s="25" t="str">
        <f>IFERROR(VLOOKUP(C194,'01_Поставщики'!$A$4:$M$11,10,FALSE()),"")</f>
        <v/>
      </c>
      <c r="M194" s="26" t="str">
        <f>IF(OR(A194="",B194=""),"",IFERROR(SUMIFS('04_Потребность'!$B$4:$B$103,'04_Потребность'!$A$4:$A$103,A194,'04_Потребность'!$C$4:$C$103,B194),0))</f>
        <v/>
      </c>
      <c r="N194" s="11"/>
      <c r="O194" s="10"/>
      <c r="P194" s="10"/>
      <c r="Q194" s="27"/>
      <c r="R194" s="27"/>
      <c r="S194" s="8"/>
      <c r="T194" s="8">
        <f>IFERROR(INDEX('02_Схемы оплаты'!$C$4:$C$19,MATCH($C194&amp;"|"&amp;$G194,'02_Схемы оплаты'!$H$4:$H$19,0)),0)</f>
        <v>0</v>
      </c>
      <c r="U194" s="11"/>
      <c r="V194" s="28"/>
      <c r="W194" s="8"/>
      <c r="X194" s="8">
        <f>IFERROR(INDEX('02_Схемы оплаты'!$D$4:$D$19,MATCH($C194&amp;"|"&amp;$G194,'02_Схемы оплаты'!$H$4:$H$19,0)),0)</f>
        <v>0</v>
      </c>
      <c r="Y194" s="11"/>
      <c r="Z194" s="28"/>
      <c r="AA194" s="8"/>
      <c r="AB194" s="8">
        <f>IFERROR(INDEX('02_Схемы оплаты'!$E$4:$E$19,MATCH($C194&amp;"|"&amp;$G194,'02_Схемы оплаты'!$H$4:$H$19,0)),0)</f>
        <v>0</v>
      </c>
      <c r="AC194" s="11"/>
      <c r="AD194" s="28"/>
      <c r="AE194" s="8"/>
      <c r="AF194" s="10"/>
      <c r="AG194" s="10"/>
      <c r="AH194" s="25">
        <f>IFERROR(SUMIFS('04_Потребность'!$D$4:$D$103,'04_Потребность'!$A$4:$A$103,A194,'04_Потребность'!$C$4:$C$103,B194),0)</f>
        <v>0</v>
      </c>
      <c r="AI194" s="26" t="str">
        <f>IF(OR(A194="",B194=""),"",IFERROR(SUMIFS('04_Потребность'!$E$4:$E$103,'04_Потребность'!$A$4:$A$103,A194,'04_Потребность'!$C$4:$C$103,B194),0))</f>
        <v/>
      </c>
      <c r="AJ194" s="25" t="str">
        <f>IF(OR(A194="",B194=""),"",IFERROR(SUMIFS('04_Потребность'!$F$4:$F$103,'04_Потребность'!$A$4:$A$103,A194,'04_Потребность'!$C$4:$C$103,B194),0))</f>
        <v/>
      </c>
      <c r="AK194" s="29" t="str">
        <f>IF(OR(A194="",B194=""),"",IFERROR(SUMIFS('04_Потребность'!$G$4:$G$103,'04_Потребность'!$A$4:$A$103,A194,'04_Потребность'!$C$4:$C$103,B194),0))</f>
        <v/>
      </c>
      <c r="AL194" s="25" t="str">
        <f>IF('03_Настройки'!$B$7="Нет","Нет",IF(COUNTIFS('04_Потребность'!$A$4:$A$103,A194,'04_Потребность'!$C$4:$C$103,B194,'04_Потребность'!$H$4:$H$103,"Да")&gt;0,"Да","Нет"))</f>
        <v>Нет</v>
      </c>
      <c r="AM194" s="30">
        <f t="shared" si="100"/>
        <v>0</v>
      </c>
      <c r="AN194" s="30">
        <f t="shared" si="101"/>
        <v>0</v>
      </c>
      <c r="AO194" s="29">
        <f t="shared" si="102"/>
        <v>0</v>
      </c>
      <c r="AP194" s="29">
        <f t="shared" si="103"/>
        <v>0</v>
      </c>
      <c r="AQ194" s="29">
        <f t="shared" si="104"/>
        <v>0</v>
      </c>
      <c r="AR194" s="29">
        <f>IFERROR(E194*'03_Настройки'!$B$4/365*(IF(T194&gt;0,T194*V194*(1+W194)*MAX(0,N194-U194),0)+IF(X194&gt;0,X194*Z194*(1+AA194)*MAX(0,N194-Y194),0)+IF(AB194&gt;0,AB194*AD194*(1+AE194)*MAX(0,N194-AC194),0)),0)</f>
        <v>0</v>
      </c>
      <c r="AS194" s="29">
        <f t="shared" si="105"/>
        <v>0</v>
      </c>
      <c r="AT194" s="31">
        <f t="shared" si="106"/>
        <v>0</v>
      </c>
      <c r="AU194" s="31">
        <f t="shared" si="107"/>
        <v>0</v>
      </c>
      <c r="AV194" s="32">
        <f t="shared" si="108"/>
        <v>0</v>
      </c>
      <c r="AW194" s="29" t="e">
        <f t="shared" si="109"/>
        <v>#VALUE!</v>
      </c>
      <c r="AX194" s="29">
        <f t="shared" si="110"/>
        <v>0</v>
      </c>
      <c r="AY194" s="29" t="e">
        <f t="shared" si="111"/>
        <v>#VALUE!</v>
      </c>
      <c r="AZ194" s="25" t="str">
        <f>IF(AND(A194&lt;&gt;"",B194&lt;&gt;"",C194&lt;&gt;"",D194&gt;0,E194&gt;0,N194&lt;&gt;"",AH194&gt;0,O194="Да",P194="Да",BZ194="ПОЛНО",ABS(AN194-1)&lt;='03_Настройки'!$B$5,IF(T194&gt;0,AND(U194&lt;&gt;"",V194&gt;0),TRUE()),IF(X194&gt;0,AND(Y194&lt;&gt;"",Z194&gt;0),TRUE()),IF(AB194&gt;0,AND(AC194&lt;&gt;"",AD194&gt;0),TRUE()),OR(BM194="",BM194="Активна")),"Да","Нет")</f>
        <v>Нет</v>
      </c>
      <c r="BA194" s="25" t="str">
        <f t="shared" si="112"/>
        <v>Нет</v>
      </c>
      <c r="BB194" s="25" t="str">
        <f t="shared" si="113"/>
        <v/>
      </c>
      <c r="BC194" s="25" t="str">
        <f t="shared" si="114"/>
        <v/>
      </c>
      <c r="BD194" s="25" t="str">
        <f t="shared" si="115"/>
        <v/>
      </c>
      <c r="BE194" s="25" t="str">
        <f>IF(A194="","",IF(BZ194&lt;&gt;"ПОЛНО","BLOCK: неполная форма",IF(O194&lt;&gt;"Да","BLOCK: ввоз не разрешён",IF(P194&lt;&gt;"Да","BLOCK: документы не подтверждены",IF(ABS(AN194-1)&gt;'03_Настройки'!$B$5,"BLOCK: платежи не 100%",IF(AND(BM194&lt;&gt;"",BM194&lt;&gt;"Активна"),"BLOCK: позиция "&amp;BM194,IF(BA194&lt;&gt;"Да","PARTIAL: не покрывает потребность",IF(BB194="ДА","самый дешёвый"&amp;IF(BC194="ДА"," + быстрый","")&amp;IF(BD194="ДА"," + optimal",""),IF(BC194="ДА","самый быстрый"&amp;IF(BD194="ДА"," + optimal",""),IF(BD194="ДА","optimal","Допущен"))))))))))</f>
        <v/>
      </c>
      <c r="BF194" s="25">
        <f>ROW()</f>
        <v>194</v>
      </c>
      <c r="BG194" s="33"/>
      <c r="BH194" s="33"/>
      <c r="BI194" s="33"/>
      <c r="BJ194" s="33"/>
      <c r="BK194" s="33"/>
      <c r="BL194" s="34"/>
      <c r="BM194" s="33"/>
      <c r="BN194" s="35" t="str">
        <f t="shared" si="116"/>
        <v/>
      </c>
      <c r="BO194" s="36" t="str">
        <f t="shared" si="117"/>
        <v/>
      </c>
      <c r="BP194" s="33"/>
      <c r="BQ194" s="38"/>
      <c r="BR194" s="13"/>
      <c r="BS194" s="13"/>
      <c r="BT194" s="13"/>
      <c r="BU194" s="13"/>
      <c r="BV194" s="13"/>
      <c r="BW194" s="13"/>
      <c r="BX194" s="39" t="str">
        <f t="shared" si="118"/>
        <v/>
      </c>
      <c r="BY194" s="47"/>
      <c r="BZ194" s="48" t="str">
        <f t="shared" si="119"/>
        <v/>
      </c>
      <c r="CA194" s="47"/>
      <c r="CB194" s="47"/>
      <c r="CC194" s="47"/>
    </row>
    <row r="195" spans="1:81" ht="14.25" x14ac:dyDescent="0.45">
      <c r="A195" s="10"/>
      <c r="B195" s="10"/>
      <c r="C195" s="10"/>
      <c r="D195" s="10"/>
      <c r="E195" s="10"/>
      <c r="F195" s="10"/>
      <c r="G195" s="10"/>
      <c r="H195" s="25" t="str">
        <f>IFERROR(VLOOKUP(C195,'01_Поставщики'!$A$4:$M$11,2,FALSE()),"")</f>
        <v/>
      </c>
      <c r="I195" s="10"/>
      <c r="J195" s="25" t="str">
        <f>IFERROR(VLOOKUP(C195,'01_Поставщики'!$A$4:$M$11,8,FALSE()),"")</f>
        <v/>
      </c>
      <c r="K195" s="25" t="str">
        <f>IFERROR(VLOOKUP(C195,'01_Поставщики'!$A$4:$M$11,4,FALSE()),"")</f>
        <v/>
      </c>
      <c r="L195" s="25" t="str">
        <f>IFERROR(VLOOKUP(C195,'01_Поставщики'!$A$4:$M$11,10,FALSE()),"")</f>
        <v/>
      </c>
      <c r="M195" s="26" t="str">
        <f>IF(OR(A195="",B195=""),"",IFERROR(SUMIFS('04_Потребность'!$B$4:$B$103,'04_Потребность'!$A$4:$A$103,A195,'04_Потребность'!$C$4:$C$103,B195),0))</f>
        <v/>
      </c>
      <c r="N195" s="11"/>
      <c r="O195" s="10"/>
      <c r="P195" s="10"/>
      <c r="Q195" s="27"/>
      <c r="R195" s="27"/>
      <c r="S195" s="8"/>
      <c r="T195" s="8">
        <f>IFERROR(INDEX('02_Схемы оплаты'!$C$4:$C$19,MATCH($C195&amp;"|"&amp;$G195,'02_Схемы оплаты'!$H$4:$H$19,0)),0)</f>
        <v>0</v>
      </c>
      <c r="U195" s="11"/>
      <c r="V195" s="28"/>
      <c r="W195" s="8"/>
      <c r="X195" s="8">
        <f>IFERROR(INDEX('02_Схемы оплаты'!$D$4:$D$19,MATCH($C195&amp;"|"&amp;$G195,'02_Схемы оплаты'!$H$4:$H$19,0)),0)</f>
        <v>0</v>
      </c>
      <c r="Y195" s="11"/>
      <c r="Z195" s="28"/>
      <c r="AA195" s="8"/>
      <c r="AB195" s="8">
        <f>IFERROR(INDEX('02_Схемы оплаты'!$E$4:$E$19,MATCH($C195&amp;"|"&amp;$G195,'02_Схемы оплаты'!$H$4:$H$19,0)),0)</f>
        <v>0</v>
      </c>
      <c r="AC195" s="11"/>
      <c r="AD195" s="28"/>
      <c r="AE195" s="8"/>
      <c r="AF195" s="10"/>
      <c r="AG195" s="10"/>
      <c r="AH195" s="25">
        <f>IFERROR(SUMIFS('04_Потребность'!$D$4:$D$103,'04_Потребность'!$A$4:$A$103,A195,'04_Потребность'!$C$4:$C$103,B195),0)</f>
        <v>0</v>
      </c>
      <c r="AI195" s="26" t="str">
        <f>IF(OR(A195="",B195=""),"",IFERROR(SUMIFS('04_Потребность'!$E$4:$E$103,'04_Потребность'!$A$4:$A$103,A195,'04_Потребность'!$C$4:$C$103,B195),0))</f>
        <v/>
      </c>
      <c r="AJ195" s="25" t="str">
        <f>IF(OR(A195="",B195=""),"",IFERROR(SUMIFS('04_Потребность'!$F$4:$F$103,'04_Потребность'!$A$4:$A$103,A195,'04_Потребность'!$C$4:$C$103,B195),0))</f>
        <v/>
      </c>
      <c r="AK195" s="29" t="str">
        <f>IF(OR(A195="",B195=""),"",IFERROR(SUMIFS('04_Потребность'!$G$4:$G$103,'04_Потребность'!$A$4:$A$103,A195,'04_Потребность'!$C$4:$C$103,B195),0))</f>
        <v/>
      </c>
      <c r="AL195" s="25" t="str">
        <f>IF('03_Настройки'!$B$7="Нет","Нет",IF(COUNTIFS('04_Потребность'!$A$4:$A$103,A195,'04_Потребность'!$C$4:$C$103,B195,'04_Потребность'!$H$4:$H$103,"Да")&gt;0,"Да","Нет"))</f>
        <v>Нет</v>
      </c>
      <c r="AM195" s="30">
        <f t="shared" si="100"/>
        <v>0</v>
      </c>
      <c r="AN195" s="30">
        <f t="shared" si="101"/>
        <v>0</v>
      </c>
      <c r="AO195" s="29">
        <f t="shared" si="102"/>
        <v>0</v>
      </c>
      <c r="AP195" s="29">
        <f t="shared" si="103"/>
        <v>0</v>
      </c>
      <c r="AQ195" s="29">
        <f t="shared" si="104"/>
        <v>0</v>
      </c>
      <c r="AR195" s="29">
        <f>IFERROR(E195*'03_Настройки'!$B$4/365*(IF(T195&gt;0,T195*V195*(1+W195)*MAX(0,N195-U195),0)+IF(X195&gt;0,X195*Z195*(1+AA195)*MAX(0,N195-Y195),0)+IF(AB195&gt;0,AB195*AD195*(1+AE195)*MAX(0,N195-AC195),0)),0)</f>
        <v>0</v>
      </c>
      <c r="AS195" s="29">
        <f t="shared" si="105"/>
        <v>0</v>
      </c>
      <c r="AT195" s="31">
        <f t="shared" si="106"/>
        <v>0</v>
      </c>
      <c r="AU195" s="31">
        <f t="shared" si="107"/>
        <v>0</v>
      </c>
      <c r="AV195" s="32">
        <f t="shared" si="108"/>
        <v>0</v>
      </c>
      <c r="AW195" s="29" t="e">
        <f t="shared" si="109"/>
        <v>#VALUE!</v>
      </c>
      <c r="AX195" s="29">
        <f t="shared" si="110"/>
        <v>0</v>
      </c>
      <c r="AY195" s="29" t="e">
        <f t="shared" si="111"/>
        <v>#VALUE!</v>
      </c>
      <c r="AZ195" s="25" t="str">
        <f>IF(AND(A195&lt;&gt;"",B195&lt;&gt;"",C195&lt;&gt;"",D195&gt;0,E195&gt;0,N195&lt;&gt;"",AH195&gt;0,O195="Да",P195="Да",BZ195="ПОЛНО",ABS(AN195-1)&lt;='03_Настройки'!$B$5,IF(T195&gt;0,AND(U195&lt;&gt;"",V195&gt;0),TRUE()),IF(X195&gt;0,AND(Y195&lt;&gt;"",Z195&gt;0),TRUE()),IF(AB195&gt;0,AND(AC195&lt;&gt;"",AD195&gt;0),TRUE()),OR(BM195="",BM195="Активна")),"Да","Нет")</f>
        <v>Нет</v>
      </c>
      <c r="BA195" s="25" t="str">
        <f t="shared" si="112"/>
        <v>Нет</v>
      </c>
      <c r="BB195" s="25" t="str">
        <f t="shared" si="113"/>
        <v/>
      </c>
      <c r="BC195" s="25" t="str">
        <f t="shared" si="114"/>
        <v/>
      </c>
      <c r="BD195" s="25" t="str">
        <f t="shared" si="115"/>
        <v/>
      </c>
      <c r="BE195" s="25" t="str">
        <f>IF(A195="","",IF(BZ195&lt;&gt;"ПОЛНО","BLOCK: неполная форма",IF(O195&lt;&gt;"Да","BLOCK: ввоз не разрешён",IF(P195&lt;&gt;"Да","BLOCK: документы не подтверждены",IF(ABS(AN195-1)&gt;'03_Настройки'!$B$5,"BLOCK: платежи не 100%",IF(AND(BM195&lt;&gt;"",BM195&lt;&gt;"Активна"),"BLOCK: позиция "&amp;BM195,IF(BA195&lt;&gt;"Да","PARTIAL: не покрывает потребность",IF(BB195="ДА","самый дешёвый"&amp;IF(BC195="ДА"," + быстрый","")&amp;IF(BD195="ДА"," + optimal",""),IF(BC195="ДА","самый быстрый"&amp;IF(BD195="ДА"," + optimal",""),IF(BD195="ДА","optimal","Допущен"))))))))))</f>
        <v/>
      </c>
      <c r="BF195" s="25">
        <f>ROW()</f>
        <v>195</v>
      </c>
      <c r="BG195" s="33"/>
      <c r="BH195" s="33"/>
      <c r="BI195" s="33"/>
      <c r="BJ195" s="33"/>
      <c r="BK195" s="33"/>
      <c r="BL195" s="34"/>
      <c r="BM195" s="33"/>
      <c r="BN195" s="35" t="str">
        <f t="shared" si="116"/>
        <v/>
      </c>
      <c r="BO195" s="36" t="str">
        <f t="shared" si="117"/>
        <v/>
      </c>
      <c r="BP195" s="33"/>
      <c r="BQ195" s="38"/>
      <c r="BR195" s="13"/>
      <c r="BS195" s="13"/>
      <c r="BT195" s="13"/>
      <c r="BU195" s="13"/>
      <c r="BV195" s="13"/>
      <c r="BW195" s="13"/>
      <c r="BX195" s="39" t="str">
        <f t="shared" si="118"/>
        <v/>
      </c>
      <c r="BY195" s="47"/>
      <c r="BZ195" s="48" t="str">
        <f t="shared" si="119"/>
        <v/>
      </c>
      <c r="CA195" s="47"/>
      <c r="CB195" s="47"/>
      <c r="CC195" s="47"/>
    </row>
    <row r="196" spans="1:81" ht="14.25" x14ac:dyDescent="0.45">
      <c r="A196" s="10"/>
      <c r="B196" s="10"/>
      <c r="C196" s="10"/>
      <c r="D196" s="10"/>
      <c r="E196" s="10"/>
      <c r="F196" s="10"/>
      <c r="G196" s="10"/>
      <c r="H196" s="25" t="str">
        <f>IFERROR(VLOOKUP(C196,'01_Поставщики'!$A$4:$M$11,2,FALSE()),"")</f>
        <v/>
      </c>
      <c r="I196" s="10"/>
      <c r="J196" s="25" t="str">
        <f>IFERROR(VLOOKUP(C196,'01_Поставщики'!$A$4:$M$11,8,FALSE()),"")</f>
        <v/>
      </c>
      <c r="K196" s="25" t="str">
        <f>IFERROR(VLOOKUP(C196,'01_Поставщики'!$A$4:$M$11,4,FALSE()),"")</f>
        <v/>
      </c>
      <c r="L196" s="25" t="str">
        <f>IFERROR(VLOOKUP(C196,'01_Поставщики'!$A$4:$M$11,10,FALSE()),"")</f>
        <v/>
      </c>
      <c r="M196" s="26" t="str">
        <f>IF(OR(A196="",B196=""),"",IFERROR(SUMIFS('04_Потребность'!$B$4:$B$103,'04_Потребность'!$A$4:$A$103,A196,'04_Потребность'!$C$4:$C$103,B196),0))</f>
        <v/>
      </c>
      <c r="N196" s="11"/>
      <c r="O196" s="10"/>
      <c r="P196" s="10"/>
      <c r="Q196" s="27"/>
      <c r="R196" s="27"/>
      <c r="S196" s="8"/>
      <c r="T196" s="8">
        <f>IFERROR(INDEX('02_Схемы оплаты'!$C$4:$C$19,MATCH($C196&amp;"|"&amp;$G196,'02_Схемы оплаты'!$H$4:$H$19,0)),0)</f>
        <v>0</v>
      </c>
      <c r="U196" s="11"/>
      <c r="V196" s="28"/>
      <c r="W196" s="8"/>
      <c r="X196" s="8">
        <f>IFERROR(INDEX('02_Схемы оплаты'!$D$4:$D$19,MATCH($C196&amp;"|"&amp;$G196,'02_Схемы оплаты'!$H$4:$H$19,0)),0)</f>
        <v>0</v>
      </c>
      <c r="Y196" s="11"/>
      <c r="Z196" s="28"/>
      <c r="AA196" s="8"/>
      <c r="AB196" s="8">
        <f>IFERROR(INDEX('02_Схемы оплаты'!$E$4:$E$19,MATCH($C196&amp;"|"&amp;$G196,'02_Схемы оплаты'!$H$4:$H$19,0)),0)</f>
        <v>0</v>
      </c>
      <c r="AC196" s="11"/>
      <c r="AD196" s="28"/>
      <c r="AE196" s="8"/>
      <c r="AF196" s="10"/>
      <c r="AG196" s="10"/>
      <c r="AH196" s="25">
        <f>IFERROR(SUMIFS('04_Потребность'!$D$4:$D$103,'04_Потребность'!$A$4:$A$103,A196,'04_Потребность'!$C$4:$C$103,B196),0)</f>
        <v>0</v>
      </c>
      <c r="AI196" s="26" t="str">
        <f>IF(OR(A196="",B196=""),"",IFERROR(SUMIFS('04_Потребность'!$E$4:$E$103,'04_Потребность'!$A$4:$A$103,A196,'04_Потребность'!$C$4:$C$103,B196),0))</f>
        <v/>
      </c>
      <c r="AJ196" s="25" t="str">
        <f>IF(OR(A196="",B196=""),"",IFERROR(SUMIFS('04_Потребность'!$F$4:$F$103,'04_Потребность'!$A$4:$A$103,A196,'04_Потребность'!$C$4:$C$103,B196),0))</f>
        <v/>
      </c>
      <c r="AK196" s="29" t="str">
        <f>IF(OR(A196="",B196=""),"",IFERROR(SUMIFS('04_Потребность'!$G$4:$G$103,'04_Потребность'!$A$4:$A$103,A196,'04_Потребность'!$C$4:$C$103,B196),0))</f>
        <v/>
      </c>
      <c r="AL196" s="25" t="str">
        <f>IF('03_Настройки'!$B$7="Нет","Нет",IF(COUNTIFS('04_Потребность'!$A$4:$A$103,A196,'04_Потребность'!$C$4:$C$103,B196,'04_Потребность'!$H$4:$H$103,"Да")&gt;0,"Да","Нет"))</f>
        <v>Нет</v>
      </c>
      <c r="AM196" s="30">
        <f t="shared" ref="AM196:AM203" si="120">IFERROR(MIN(1,D196/AH196),0)</f>
        <v>0</v>
      </c>
      <c r="AN196" s="30">
        <f t="shared" ref="AN196:AN203" si="121">SUM(T196,X196,AB196)</f>
        <v>0</v>
      </c>
      <c r="AO196" s="29">
        <f t="shared" ref="AO196:AO203" si="122">IFERROR(E196*(T196*V196*(1+W196)+X196*Z196*(1+AA196)+AB196*AD196*(1+AE196)),0)</f>
        <v>0</v>
      </c>
      <c r="AP196" s="29">
        <f t="shared" ref="AP196:AP203" si="123">AO196*S196</f>
        <v>0</v>
      </c>
      <c r="AQ196" s="29">
        <f t="shared" ref="AQ196:AQ203" si="124">AO196+AP196+Q196+R196</f>
        <v>0</v>
      </c>
      <c r="AR196" s="29">
        <f>IFERROR(E196*'03_Настройки'!$B$4/365*(IF(T196&gt;0,T196*V196*(1+W196)*MAX(0,N196-U196),0)+IF(X196&gt;0,X196*Z196*(1+AA196)*MAX(0,N196-Y196),0)+IF(AB196&gt;0,AB196*AD196*(1+AE196)*MAX(0,N196-AC196),0)),0)</f>
        <v>0</v>
      </c>
      <c r="AS196" s="29">
        <f t="shared" ref="AS196:AS203" si="125">AQ196+AR196</f>
        <v>0</v>
      </c>
      <c r="AT196" s="31">
        <f t="shared" ref="AT196:AT203" si="126">IFERROR(MAX(0,N196-M196),0)</f>
        <v>0</v>
      </c>
      <c r="AU196" s="31">
        <f t="shared" ref="AU196:AU203" si="127">IFERROR(MAX(0,N196-AI196),0)</f>
        <v>0</v>
      </c>
      <c r="AV196" s="32">
        <f t="shared" ref="AV196:AV203" si="128">IF(AL196="Да",MIN(AH196,AJ196*AU196),0)</f>
        <v>0</v>
      </c>
      <c r="AW196" s="29" t="e">
        <f t="shared" ref="AW196:AW203" si="129">AV196*AK196</f>
        <v>#VALUE!</v>
      </c>
      <c r="AX196" s="29">
        <f t="shared" ref="AX196:AX203" si="130">AS196*AH196</f>
        <v>0</v>
      </c>
      <c r="AY196" s="29" t="e">
        <f t="shared" ref="AY196:AY203" si="131">AX196+AW196</f>
        <v>#VALUE!</v>
      </c>
      <c r="AZ196" s="25" t="str">
        <f>IF(AND(A196&lt;&gt;"",B196&lt;&gt;"",C196&lt;&gt;"",D196&gt;0,E196&gt;0,N196&lt;&gt;"",AH196&gt;0,O196="Да",P196="Да",BZ196="ПОЛНО",ABS(AN196-1)&lt;='03_Настройки'!$B$5,IF(T196&gt;0,AND(U196&lt;&gt;"",V196&gt;0),TRUE()),IF(X196&gt;0,AND(Y196&lt;&gt;"",Z196&gt;0),TRUE()),IF(AB196&gt;0,AND(AC196&lt;&gt;"",AD196&gt;0),TRUE()),OR(BM196="",BM196="Активна")),"Да","Нет")</f>
        <v>Нет</v>
      </c>
      <c r="BA196" s="25" t="str">
        <f t="shared" ref="BA196:BA203" si="132">IF(AM196&gt;=1,"Да","Нет")</f>
        <v>Нет</v>
      </c>
      <c r="BB196" s="25" t="str">
        <f t="shared" ref="BB196:BB227" si="133">IF(AND(AZ196="Да",BA196="Да",COUNTIFS($A$4:$A$203,A196,$B$4:$B$203,B196,$AZ$4:$AZ$203,"Да",$BA$4:$BA$203,"Да",$AX$4:$AX$203,"&lt;"&amp;AX196)=0,COUNTIFS($A$4:$A$203,A196,$B$4:$B$203,B196,$AZ$4:$AZ$203,"Да",$BA$4:$BA$203,"Да",$AX$4:$AX$203,"="&amp;AX196,$BF$4:$BF$203,"&lt;"&amp;BF196)=0),"ДА","")</f>
        <v/>
      </c>
      <c r="BC196" s="25" t="str">
        <f t="shared" ref="BC196:BC203" si="134">IF(AND(AZ196="Да",BA196="Да",COUNTIFS($A$4:$A$203,A196,$B$4:$B$203,B196,$AZ$4:$AZ$203,"Да",$BA$4:$BA$203,"Да",$N$4:$N$203,"&lt;"&amp;N196)=0,COUNTIFS($A$4:$A$203,A196,$B$4:$B$203,B196,$AZ$4:$AZ$203,"Да",$BA$4:$BA$203,"Да",$N$4:$N$203,"="&amp;N196,$BF$4:$BF$203,"&lt;"&amp;BF196)=0),"ДА","")</f>
        <v/>
      </c>
      <c r="BD196" s="25" t="str">
        <f t="shared" ref="BD196:BD203" si="135">IF(AND(AZ196="Да",BA196="Да",COUNTIFS($A$4:$A$203,A196,$B$4:$B$203,B196,$AZ$4:$AZ$203,"Да",$BA$4:$BA$203,"Да",$AY$4:$AY$203,"&lt;"&amp;AY196)=0,COUNTIFS($A$4:$A$203,A196,$B$4:$B$203,B196,$AZ$4:$AZ$203,"Да",$BA$4:$BA$203,"Да",$AY$4:$AY$203,"="&amp;AY196,$BF$4:$BF$203,"&lt;"&amp;BF196)=0),"ДА","")</f>
        <v/>
      </c>
      <c r="BE196" s="25" t="str">
        <f>IF(A196="","",IF(BZ196&lt;&gt;"ПОЛНО","BLOCK: неполная форма",IF(O196&lt;&gt;"Да","BLOCK: ввоз не разрешён",IF(P196&lt;&gt;"Да","BLOCK: документы не подтверждены",IF(ABS(AN196-1)&gt;'03_Настройки'!$B$5,"BLOCK: платежи не 100%",IF(AND(BM196&lt;&gt;"",BM196&lt;&gt;"Активна"),"BLOCK: позиция "&amp;BM196,IF(BA196&lt;&gt;"Да","PARTIAL: не покрывает потребность",IF(BB196="ДА","самый дешёвый"&amp;IF(BC196="ДА"," + быстрый","")&amp;IF(BD196="ДА"," + optimal",""),IF(BC196="ДА","самый быстрый"&amp;IF(BD196="ДА"," + optimal",""),IF(BD196="ДА","optimal","Допущен"))))))))))</f>
        <v/>
      </c>
      <c r="BF196" s="25">
        <f>ROW()</f>
        <v>196</v>
      </c>
      <c r="BG196" s="33"/>
      <c r="BH196" s="33"/>
      <c r="BI196" s="33"/>
      <c r="BJ196" s="33"/>
      <c r="BK196" s="33"/>
      <c r="BL196" s="34"/>
      <c r="BM196" s="33"/>
      <c r="BN196" s="35" t="str">
        <f t="shared" ref="BN196:BN203" si="136">IF(BG196+BH196=0,"",IF(BG196+BH196&lt;&gt;D196,"⚠ SIM+eSIM≠Доступно","OK"))</f>
        <v/>
      </c>
      <c r="BO196" s="36" t="str">
        <f t="shared" ref="BO196:BO203" si="137">IF($C196="","",IF(TRIM(IF(O196&lt;&gt;"Да","⚠Ввоз ","")&amp;IF(P196&lt;&gt;"Да","⚠Документы ","")&amp;IF(AND(BG196+BH196&gt;0,D196&gt;0,BG196+BH196&lt;&gt;D196),"⚠SIM/eSIM ","")&amp;IF(BZ196&lt;&gt;"ПОЛНО","⚠НеполнаяФорма ",""))="","OK",TRIM(IF(O196&lt;&gt;"Да","⚠Ввоз ","")&amp;IF(P196&lt;&gt;"Да","⚠Документы ","")&amp;IF(AND(BG196+BH196&gt;0,D196&gt;0,BG196+BH196&lt;&gt;D196),"⚠SIM/eSIM ","")&amp;IF(BZ196&lt;&gt;"ПОЛНО","⚠НеполнаяФорма ",""))))</f>
        <v/>
      </c>
      <c r="BP196" s="33"/>
      <c r="BQ196" s="38"/>
      <c r="BR196" s="13"/>
      <c r="BS196" s="13"/>
      <c r="BT196" s="13"/>
      <c r="BU196" s="13"/>
      <c r="BV196" s="13"/>
      <c r="BW196" s="13"/>
      <c r="BX196" s="39" t="str">
        <f t="shared" ref="BX196:BX203" si="138">IF(OR(BV196&lt;&gt;"",BW196&lt;&gt;""),"Да","")</f>
        <v/>
      </c>
      <c r="BY196" s="47"/>
      <c r="BZ196" s="48" t="str">
        <f t="shared" ref="BZ196:BZ227" si="139">IF(A196="","",IF(AND(BT196&lt;&gt;"",BJ196&lt;&gt;"",CA196&lt;&gt;"",BK196&lt;&gt;"",OR(BG196&lt;&gt;"",BH196&lt;&gt;""),BM196&lt;&gt;""),"ПОЛНО","НЕПОЛНО"))</f>
        <v/>
      </c>
      <c r="CA196" s="47"/>
      <c r="CB196" s="47"/>
      <c r="CC196" s="47"/>
    </row>
    <row r="197" spans="1:81" ht="14.25" x14ac:dyDescent="0.45">
      <c r="A197" s="10"/>
      <c r="B197" s="10"/>
      <c r="C197" s="10"/>
      <c r="D197" s="10"/>
      <c r="E197" s="10"/>
      <c r="F197" s="10"/>
      <c r="G197" s="10"/>
      <c r="H197" s="25" t="str">
        <f>IFERROR(VLOOKUP(C197,'01_Поставщики'!$A$4:$M$11,2,FALSE()),"")</f>
        <v/>
      </c>
      <c r="I197" s="10"/>
      <c r="J197" s="25" t="str">
        <f>IFERROR(VLOOKUP(C197,'01_Поставщики'!$A$4:$M$11,8,FALSE()),"")</f>
        <v/>
      </c>
      <c r="K197" s="25" t="str">
        <f>IFERROR(VLOOKUP(C197,'01_Поставщики'!$A$4:$M$11,4,FALSE()),"")</f>
        <v/>
      </c>
      <c r="L197" s="25" t="str">
        <f>IFERROR(VLOOKUP(C197,'01_Поставщики'!$A$4:$M$11,10,FALSE()),"")</f>
        <v/>
      </c>
      <c r="M197" s="26" t="str">
        <f>IF(OR(A197="",B197=""),"",IFERROR(SUMIFS('04_Потребность'!$B$4:$B$103,'04_Потребность'!$A$4:$A$103,A197,'04_Потребность'!$C$4:$C$103,B197),0))</f>
        <v/>
      </c>
      <c r="N197" s="11"/>
      <c r="O197" s="10"/>
      <c r="P197" s="10"/>
      <c r="Q197" s="27"/>
      <c r="R197" s="27"/>
      <c r="S197" s="8"/>
      <c r="T197" s="8">
        <f>IFERROR(INDEX('02_Схемы оплаты'!$C$4:$C$19,MATCH($C197&amp;"|"&amp;$G197,'02_Схемы оплаты'!$H$4:$H$19,0)),0)</f>
        <v>0</v>
      </c>
      <c r="U197" s="11"/>
      <c r="V197" s="28"/>
      <c r="W197" s="8"/>
      <c r="X197" s="8">
        <f>IFERROR(INDEX('02_Схемы оплаты'!$D$4:$D$19,MATCH($C197&amp;"|"&amp;$G197,'02_Схемы оплаты'!$H$4:$H$19,0)),0)</f>
        <v>0</v>
      </c>
      <c r="Y197" s="11"/>
      <c r="Z197" s="28"/>
      <c r="AA197" s="8"/>
      <c r="AB197" s="8">
        <f>IFERROR(INDEX('02_Схемы оплаты'!$E$4:$E$19,MATCH($C197&amp;"|"&amp;$G197,'02_Схемы оплаты'!$H$4:$H$19,0)),0)</f>
        <v>0</v>
      </c>
      <c r="AC197" s="11"/>
      <c r="AD197" s="28"/>
      <c r="AE197" s="8"/>
      <c r="AF197" s="10"/>
      <c r="AG197" s="10"/>
      <c r="AH197" s="25">
        <f>IFERROR(SUMIFS('04_Потребность'!$D$4:$D$103,'04_Потребность'!$A$4:$A$103,A197,'04_Потребность'!$C$4:$C$103,B197),0)</f>
        <v>0</v>
      </c>
      <c r="AI197" s="26" t="str">
        <f>IF(OR(A197="",B197=""),"",IFERROR(SUMIFS('04_Потребность'!$E$4:$E$103,'04_Потребность'!$A$4:$A$103,A197,'04_Потребность'!$C$4:$C$103,B197),0))</f>
        <v/>
      </c>
      <c r="AJ197" s="25" t="str">
        <f>IF(OR(A197="",B197=""),"",IFERROR(SUMIFS('04_Потребность'!$F$4:$F$103,'04_Потребность'!$A$4:$A$103,A197,'04_Потребность'!$C$4:$C$103,B197),0))</f>
        <v/>
      </c>
      <c r="AK197" s="29" t="str">
        <f>IF(OR(A197="",B197=""),"",IFERROR(SUMIFS('04_Потребность'!$G$4:$G$103,'04_Потребность'!$A$4:$A$103,A197,'04_Потребность'!$C$4:$C$103,B197),0))</f>
        <v/>
      </c>
      <c r="AL197" s="25" t="str">
        <f>IF('03_Настройки'!$B$7="Нет","Нет",IF(COUNTIFS('04_Потребность'!$A$4:$A$103,A197,'04_Потребность'!$C$4:$C$103,B197,'04_Потребность'!$H$4:$H$103,"Да")&gt;0,"Да","Нет"))</f>
        <v>Нет</v>
      </c>
      <c r="AM197" s="30">
        <f t="shared" si="120"/>
        <v>0</v>
      </c>
      <c r="AN197" s="30">
        <f t="shared" si="121"/>
        <v>0</v>
      </c>
      <c r="AO197" s="29">
        <f t="shared" si="122"/>
        <v>0</v>
      </c>
      <c r="AP197" s="29">
        <f t="shared" si="123"/>
        <v>0</v>
      </c>
      <c r="AQ197" s="29">
        <f t="shared" si="124"/>
        <v>0</v>
      </c>
      <c r="AR197" s="29">
        <f>IFERROR(E197*'03_Настройки'!$B$4/365*(IF(T197&gt;0,T197*V197*(1+W197)*MAX(0,N197-U197),0)+IF(X197&gt;0,X197*Z197*(1+AA197)*MAX(0,N197-Y197),0)+IF(AB197&gt;0,AB197*AD197*(1+AE197)*MAX(0,N197-AC197),0)),0)</f>
        <v>0</v>
      </c>
      <c r="AS197" s="29">
        <f t="shared" si="125"/>
        <v>0</v>
      </c>
      <c r="AT197" s="31">
        <f t="shared" si="126"/>
        <v>0</v>
      </c>
      <c r="AU197" s="31">
        <f t="shared" si="127"/>
        <v>0</v>
      </c>
      <c r="AV197" s="32">
        <f t="shared" si="128"/>
        <v>0</v>
      </c>
      <c r="AW197" s="29" t="e">
        <f t="shared" si="129"/>
        <v>#VALUE!</v>
      </c>
      <c r="AX197" s="29">
        <f t="shared" si="130"/>
        <v>0</v>
      </c>
      <c r="AY197" s="29" t="e">
        <f t="shared" si="131"/>
        <v>#VALUE!</v>
      </c>
      <c r="AZ197" s="25" t="str">
        <f>IF(AND(A197&lt;&gt;"",B197&lt;&gt;"",C197&lt;&gt;"",D197&gt;0,E197&gt;0,N197&lt;&gt;"",AH197&gt;0,O197="Да",P197="Да",BZ197="ПОЛНО",ABS(AN197-1)&lt;='03_Настройки'!$B$5,IF(T197&gt;0,AND(U197&lt;&gt;"",V197&gt;0),TRUE()),IF(X197&gt;0,AND(Y197&lt;&gt;"",Z197&gt;0),TRUE()),IF(AB197&gt;0,AND(AC197&lt;&gt;"",AD197&gt;0),TRUE()),OR(BM197="",BM197="Активна")),"Да","Нет")</f>
        <v>Нет</v>
      </c>
      <c r="BA197" s="25" t="str">
        <f t="shared" si="132"/>
        <v>Нет</v>
      </c>
      <c r="BB197" s="25" t="str">
        <f t="shared" si="133"/>
        <v/>
      </c>
      <c r="BC197" s="25" t="str">
        <f t="shared" si="134"/>
        <v/>
      </c>
      <c r="BD197" s="25" t="str">
        <f t="shared" si="135"/>
        <v/>
      </c>
      <c r="BE197" s="25" t="str">
        <f>IF(A197="","",IF(BZ197&lt;&gt;"ПОЛНО","BLOCK: неполная форма",IF(O197&lt;&gt;"Да","BLOCK: ввоз не разрешён",IF(P197&lt;&gt;"Да","BLOCK: документы не подтверждены",IF(ABS(AN197-1)&gt;'03_Настройки'!$B$5,"BLOCK: платежи не 100%",IF(AND(BM197&lt;&gt;"",BM197&lt;&gt;"Активна"),"BLOCK: позиция "&amp;BM197,IF(BA197&lt;&gt;"Да","PARTIAL: не покрывает потребность",IF(BB197="ДА","самый дешёвый"&amp;IF(BC197="ДА"," + быстрый","")&amp;IF(BD197="ДА"," + optimal",""),IF(BC197="ДА","самый быстрый"&amp;IF(BD197="ДА"," + optimal",""),IF(BD197="ДА","optimal","Допущен"))))))))))</f>
        <v/>
      </c>
      <c r="BF197" s="25">
        <f>ROW()</f>
        <v>197</v>
      </c>
      <c r="BG197" s="33"/>
      <c r="BH197" s="33"/>
      <c r="BI197" s="33"/>
      <c r="BJ197" s="33"/>
      <c r="BK197" s="33"/>
      <c r="BL197" s="34"/>
      <c r="BM197" s="33"/>
      <c r="BN197" s="35" t="str">
        <f t="shared" si="136"/>
        <v/>
      </c>
      <c r="BO197" s="36" t="str">
        <f t="shared" si="137"/>
        <v/>
      </c>
      <c r="BP197" s="33"/>
      <c r="BQ197" s="38"/>
      <c r="BR197" s="13"/>
      <c r="BS197" s="13"/>
      <c r="BT197" s="13"/>
      <c r="BU197" s="13"/>
      <c r="BV197" s="13"/>
      <c r="BW197" s="13"/>
      <c r="BX197" s="39" t="str">
        <f t="shared" si="138"/>
        <v/>
      </c>
      <c r="BY197" s="47"/>
      <c r="BZ197" s="48" t="str">
        <f t="shared" si="139"/>
        <v/>
      </c>
      <c r="CA197" s="47"/>
      <c r="CB197" s="47"/>
      <c r="CC197" s="47"/>
    </row>
    <row r="198" spans="1:81" ht="14.25" x14ac:dyDescent="0.45">
      <c r="A198" s="10"/>
      <c r="B198" s="10"/>
      <c r="C198" s="10"/>
      <c r="D198" s="10"/>
      <c r="E198" s="10"/>
      <c r="F198" s="10"/>
      <c r="G198" s="10"/>
      <c r="H198" s="25" t="str">
        <f>IFERROR(VLOOKUP(C198,'01_Поставщики'!$A$4:$M$11,2,FALSE()),"")</f>
        <v/>
      </c>
      <c r="I198" s="10"/>
      <c r="J198" s="25" t="str">
        <f>IFERROR(VLOOKUP(C198,'01_Поставщики'!$A$4:$M$11,8,FALSE()),"")</f>
        <v/>
      </c>
      <c r="K198" s="25" t="str">
        <f>IFERROR(VLOOKUP(C198,'01_Поставщики'!$A$4:$M$11,4,FALSE()),"")</f>
        <v/>
      </c>
      <c r="L198" s="25" t="str">
        <f>IFERROR(VLOOKUP(C198,'01_Поставщики'!$A$4:$M$11,10,FALSE()),"")</f>
        <v/>
      </c>
      <c r="M198" s="26" t="str">
        <f>IF(OR(A198="",B198=""),"",IFERROR(SUMIFS('04_Потребность'!$B$4:$B$103,'04_Потребность'!$A$4:$A$103,A198,'04_Потребность'!$C$4:$C$103,B198),0))</f>
        <v/>
      </c>
      <c r="N198" s="11"/>
      <c r="O198" s="10"/>
      <c r="P198" s="10"/>
      <c r="Q198" s="27"/>
      <c r="R198" s="27"/>
      <c r="S198" s="8"/>
      <c r="T198" s="8">
        <f>IFERROR(INDEX('02_Схемы оплаты'!$C$4:$C$19,MATCH($C198&amp;"|"&amp;$G198,'02_Схемы оплаты'!$H$4:$H$19,0)),0)</f>
        <v>0</v>
      </c>
      <c r="U198" s="11"/>
      <c r="V198" s="28"/>
      <c r="W198" s="8"/>
      <c r="X198" s="8">
        <f>IFERROR(INDEX('02_Схемы оплаты'!$D$4:$D$19,MATCH($C198&amp;"|"&amp;$G198,'02_Схемы оплаты'!$H$4:$H$19,0)),0)</f>
        <v>0</v>
      </c>
      <c r="Y198" s="11"/>
      <c r="Z198" s="28"/>
      <c r="AA198" s="8"/>
      <c r="AB198" s="8">
        <f>IFERROR(INDEX('02_Схемы оплаты'!$E$4:$E$19,MATCH($C198&amp;"|"&amp;$G198,'02_Схемы оплаты'!$H$4:$H$19,0)),0)</f>
        <v>0</v>
      </c>
      <c r="AC198" s="11"/>
      <c r="AD198" s="28"/>
      <c r="AE198" s="8"/>
      <c r="AF198" s="10"/>
      <c r="AG198" s="10"/>
      <c r="AH198" s="25">
        <f>IFERROR(SUMIFS('04_Потребность'!$D$4:$D$103,'04_Потребность'!$A$4:$A$103,A198,'04_Потребность'!$C$4:$C$103,B198),0)</f>
        <v>0</v>
      </c>
      <c r="AI198" s="26" t="str">
        <f>IF(OR(A198="",B198=""),"",IFERROR(SUMIFS('04_Потребность'!$E$4:$E$103,'04_Потребность'!$A$4:$A$103,A198,'04_Потребность'!$C$4:$C$103,B198),0))</f>
        <v/>
      </c>
      <c r="AJ198" s="25" t="str">
        <f>IF(OR(A198="",B198=""),"",IFERROR(SUMIFS('04_Потребность'!$F$4:$F$103,'04_Потребность'!$A$4:$A$103,A198,'04_Потребность'!$C$4:$C$103,B198),0))</f>
        <v/>
      </c>
      <c r="AK198" s="29" t="str">
        <f>IF(OR(A198="",B198=""),"",IFERROR(SUMIFS('04_Потребность'!$G$4:$G$103,'04_Потребность'!$A$4:$A$103,A198,'04_Потребность'!$C$4:$C$103,B198),0))</f>
        <v/>
      </c>
      <c r="AL198" s="25" t="str">
        <f>IF('03_Настройки'!$B$7="Нет","Нет",IF(COUNTIFS('04_Потребность'!$A$4:$A$103,A198,'04_Потребность'!$C$4:$C$103,B198,'04_Потребность'!$H$4:$H$103,"Да")&gt;0,"Да","Нет"))</f>
        <v>Нет</v>
      </c>
      <c r="AM198" s="30">
        <f t="shared" si="120"/>
        <v>0</v>
      </c>
      <c r="AN198" s="30">
        <f t="shared" si="121"/>
        <v>0</v>
      </c>
      <c r="AO198" s="29">
        <f t="shared" si="122"/>
        <v>0</v>
      </c>
      <c r="AP198" s="29">
        <f t="shared" si="123"/>
        <v>0</v>
      </c>
      <c r="AQ198" s="29">
        <f t="shared" si="124"/>
        <v>0</v>
      </c>
      <c r="AR198" s="29">
        <f>IFERROR(E198*'03_Настройки'!$B$4/365*(IF(T198&gt;0,T198*V198*(1+W198)*MAX(0,N198-U198),0)+IF(X198&gt;0,X198*Z198*(1+AA198)*MAX(0,N198-Y198),0)+IF(AB198&gt;0,AB198*AD198*(1+AE198)*MAX(0,N198-AC198),0)),0)</f>
        <v>0</v>
      </c>
      <c r="AS198" s="29">
        <f t="shared" si="125"/>
        <v>0</v>
      </c>
      <c r="AT198" s="31">
        <f t="shared" si="126"/>
        <v>0</v>
      </c>
      <c r="AU198" s="31">
        <f t="shared" si="127"/>
        <v>0</v>
      </c>
      <c r="AV198" s="32">
        <f t="shared" si="128"/>
        <v>0</v>
      </c>
      <c r="AW198" s="29" t="e">
        <f t="shared" si="129"/>
        <v>#VALUE!</v>
      </c>
      <c r="AX198" s="29">
        <f t="shared" si="130"/>
        <v>0</v>
      </c>
      <c r="AY198" s="29" t="e">
        <f t="shared" si="131"/>
        <v>#VALUE!</v>
      </c>
      <c r="AZ198" s="25" t="str">
        <f>IF(AND(A198&lt;&gt;"",B198&lt;&gt;"",C198&lt;&gt;"",D198&gt;0,E198&gt;0,N198&lt;&gt;"",AH198&gt;0,O198="Да",P198="Да",BZ198="ПОЛНО",ABS(AN198-1)&lt;='03_Настройки'!$B$5,IF(T198&gt;0,AND(U198&lt;&gt;"",V198&gt;0),TRUE()),IF(X198&gt;0,AND(Y198&lt;&gt;"",Z198&gt;0),TRUE()),IF(AB198&gt;0,AND(AC198&lt;&gt;"",AD198&gt;0),TRUE()),OR(BM198="",BM198="Активна")),"Да","Нет")</f>
        <v>Нет</v>
      </c>
      <c r="BA198" s="25" t="str">
        <f t="shared" si="132"/>
        <v>Нет</v>
      </c>
      <c r="BB198" s="25" t="str">
        <f t="shared" si="133"/>
        <v/>
      </c>
      <c r="BC198" s="25" t="str">
        <f t="shared" si="134"/>
        <v/>
      </c>
      <c r="BD198" s="25" t="str">
        <f t="shared" si="135"/>
        <v/>
      </c>
      <c r="BE198" s="25" t="str">
        <f>IF(A198="","",IF(BZ198&lt;&gt;"ПОЛНО","BLOCK: неполная форма",IF(O198&lt;&gt;"Да","BLOCK: ввоз не разрешён",IF(P198&lt;&gt;"Да","BLOCK: документы не подтверждены",IF(ABS(AN198-1)&gt;'03_Настройки'!$B$5,"BLOCK: платежи не 100%",IF(AND(BM198&lt;&gt;"",BM198&lt;&gt;"Активна"),"BLOCK: позиция "&amp;BM198,IF(BA198&lt;&gt;"Да","PARTIAL: не покрывает потребность",IF(BB198="ДА","самый дешёвый"&amp;IF(BC198="ДА"," + быстрый","")&amp;IF(BD198="ДА"," + optimal",""),IF(BC198="ДА","самый быстрый"&amp;IF(BD198="ДА"," + optimal",""),IF(BD198="ДА","optimal","Допущен"))))))))))</f>
        <v/>
      </c>
      <c r="BF198" s="25">
        <f>ROW()</f>
        <v>198</v>
      </c>
      <c r="BG198" s="33"/>
      <c r="BH198" s="33"/>
      <c r="BI198" s="33"/>
      <c r="BJ198" s="33"/>
      <c r="BK198" s="33"/>
      <c r="BL198" s="34"/>
      <c r="BM198" s="33"/>
      <c r="BN198" s="35" t="str">
        <f t="shared" si="136"/>
        <v/>
      </c>
      <c r="BO198" s="36" t="str">
        <f t="shared" si="137"/>
        <v/>
      </c>
      <c r="BP198" s="33"/>
      <c r="BQ198" s="38"/>
      <c r="BR198" s="13"/>
      <c r="BS198" s="13"/>
      <c r="BT198" s="13"/>
      <c r="BU198" s="13"/>
      <c r="BV198" s="13"/>
      <c r="BW198" s="13"/>
      <c r="BX198" s="39" t="str">
        <f t="shared" si="138"/>
        <v/>
      </c>
      <c r="BY198" s="47"/>
      <c r="BZ198" s="48" t="str">
        <f t="shared" si="139"/>
        <v/>
      </c>
      <c r="CA198" s="47"/>
      <c r="CB198" s="47"/>
      <c r="CC198" s="47"/>
    </row>
    <row r="199" spans="1:81" ht="14.25" x14ac:dyDescent="0.45">
      <c r="A199" s="10"/>
      <c r="B199" s="10"/>
      <c r="C199" s="10"/>
      <c r="D199" s="10"/>
      <c r="E199" s="10"/>
      <c r="F199" s="10"/>
      <c r="G199" s="10"/>
      <c r="H199" s="25" t="str">
        <f>IFERROR(VLOOKUP(C199,'01_Поставщики'!$A$4:$M$11,2,FALSE()),"")</f>
        <v/>
      </c>
      <c r="I199" s="10"/>
      <c r="J199" s="25" t="str">
        <f>IFERROR(VLOOKUP(C199,'01_Поставщики'!$A$4:$M$11,8,FALSE()),"")</f>
        <v/>
      </c>
      <c r="K199" s="25" t="str">
        <f>IFERROR(VLOOKUP(C199,'01_Поставщики'!$A$4:$M$11,4,FALSE()),"")</f>
        <v/>
      </c>
      <c r="L199" s="25" t="str">
        <f>IFERROR(VLOOKUP(C199,'01_Поставщики'!$A$4:$M$11,10,FALSE()),"")</f>
        <v/>
      </c>
      <c r="M199" s="26" t="str">
        <f>IF(OR(A199="",B199=""),"",IFERROR(SUMIFS('04_Потребность'!$B$4:$B$103,'04_Потребность'!$A$4:$A$103,A199,'04_Потребность'!$C$4:$C$103,B199),0))</f>
        <v/>
      </c>
      <c r="N199" s="11"/>
      <c r="O199" s="10"/>
      <c r="P199" s="10"/>
      <c r="Q199" s="27"/>
      <c r="R199" s="27"/>
      <c r="S199" s="8"/>
      <c r="T199" s="8">
        <f>IFERROR(INDEX('02_Схемы оплаты'!$C$4:$C$19,MATCH($C199&amp;"|"&amp;$G199,'02_Схемы оплаты'!$H$4:$H$19,0)),0)</f>
        <v>0</v>
      </c>
      <c r="U199" s="11"/>
      <c r="V199" s="28"/>
      <c r="W199" s="8"/>
      <c r="X199" s="8">
        <f>IFERROR(INDEX('02_Схемы оплаты'!$D$4:$D$19,MATCH($C199&amp;"|"&amp;$G199,'02_Схемы оплаты'!$H$4:$H$19,0)),0)</f>
        <v>0</v>
      </c>
      <c r="Y199" s="11"/>
      <c r="Z199" s="28"/>
      <c r="AA199" s="8"/>
      <c r="AB199" s="8">
        <f>IFERROR(INDEX('02_Схемы оплаты'!$E$4:$E$19,MATCH($C199&amp;"|"&amp;$G199,'02_Схемы оплаты'!$H$4:$H$19,0)),0)</f>
        <v>0</v>
      </c>
      <c r="AC199" s="11"/>
      <c r="AD199" s="28"/>
      <c r="AE199" s="8"/>
      <c r="AF199" s="10"/>
      <c r="AG199" s="10"/>
      <c r="AH199" s="25">
        <f>IFERROR(SUMIFS('04_Потребность'!$D$4:$D$103,'04_Потребность'!$A$4:$A$103,A199,'04_Потребность'!$C$4:$C$103,B199),0)</f>
        <v>0</v>
      </c>
      <c r="AI199" s="26" t="str">
        <f>IF(OR(A199="",B199=""),"",IFERROR(SUMIFS('04_Потребность'!$E$4:$E$103,'04_Потребность'!$A$4:$A$103,A199,'04_Потребность'!$C$4:$C$103,B199),0))</f>
        <v/>
      </c>
      <c r="AJ199" s="25" t="str">
        <f>IF(OR(A199="",B199=""),"",IFERROR(SUMIFS('04_Потребность'!$F$4:$F$103,'04_Потребность'!$A$4:$A$103,A199,'04_Потребность'!$C$4:$C$103,B199),0))</f>
        <v/>
      </c>
      <c r="AK199" s="29" t="str">
        <f>IF(OR(A199="",B199=""),"",IFERROR(SUMIFS('04_Потребность'!$G$4:$G$103,'04_Потребность'!$A$4:$A$103,A199,'04_Потребность'!$C$4:$C$103,B199),0))</f>
        <v/>
      </c>
      <c r="AL199" s="25" t="str">
        <f>IF('03_Настройки'!$B$7="Нет","Нет",IF(COUNTIFS('04_Потребность'!$A$4:$A$103,A199,'04_Потребность'!$C$4:$C$103,B199,'04_Потребность'!$H$4:$H$103,"Да")&gt;0,"Да","Нет"))</f>
        <v>Нет</v>
      </c>
      <c r="AM199" s="30">
        <f t="shared" si="120"/>
        <v>0</v>
      </c>
      <c r="AN199" s="30">
        <f t="shared" si="121"/>
        <v>0</v>
      </c>
      <c r="AO199" s="29">
        <f t="shared" si="122"/>
        <v>0</v>
      </c>
      <c r="AP199" s="29">
        <f t="shared" si="123"/>
        <v>0</v>
      </c>
      <c r="AQ199" s="29">
        <f t="shared" si="124"/>
        <v>0</v>
      </c>
      <c r="AR199" s="29">
        <f>IFERROR(E199*'03_Настройки'!$B$4/365*(IF(T199&gt;0,T199*V199*(1+W199)*MAX(0,N199-U199),0)+IF(X199&gt;0,X199*Z199*(1+AA199)*MAX(0,N199-Y199),0)+IF(AB199&gt;0,AB199*AD199*(1+AE199)*MAX(0,N199-AC199),0)),0)</f>
        <v>0</v>
      </c>
      <c r="AS199" s="29">
        <f t="shared" si="125"/>
        <v>0</v>
      </c>
      <c r="AT199" s="31">
        <f t="shared" si="126"/>
        <v>0</v>
      </c>
      <c r="AU199" s="31">
        <f t="shared" si="127"/>
        <v>0</v>
      </c>
      <c r="AV199" s="32">
        <f t="shared" si="128"/>
        <v>0</v>
      </c>
      <c r="AW199" s="29" t="e">
        <f t="shared" si="129"/>
        <v>#VALUE!</v>
      </c>
      <c r="AX199" s="29">
        <f t="shared" si="130"/>
        <v>0</v>
      </c>
      <c r="AY199" s="29" t="e">
        <f t="shared" si="131"/>
        <v>#VALUE!</v>
      </c>
      <c r="AZ199" s="25" t="str">
        <f>IF(AND(A199&lt;&gt;"",B199&lt;&gt;"",C199&lt;&gt;"",D199&gt;0,E199&gt;0,N199&lt;&gt;"",AH199&gt;0,O199="Да",P199="Да",BZ199="ПОЛНО",ABS(AN199-1)&lt;='03_Настройки'!$B$5,IF(T199&gt;0,AND(U199&lt;&gt;"",V199&gt;0),TRUE()),IF(X199&gt;0,AND(Y199&lt;&gt;"",Z199&gt;0),TRUE()),IF(AB199&gt;0,AND(AC199&lt;&gt;"",AD199&gt;0),TRUE()),OR(BM199="",BM199="Активна")),"Да","Нет")</f>
        <v>Нет</v>
      </c>
      <c r="BA199" s="25" t="str">
        <f t="shared" si="132"/>
        <v>Нет</v>
      </c>
      <c r="BB199" s="25" t="str">
        <f t="shared" si="133"/>
        <v/>
      </c>
      <c r="BC199" s="25" t="str">
        <f t="shared" si="134"/>
        <v/>
      </c>
      <c r="BD199" s="25" t="str">
        <f t="shared" si="135"/>
        <v/>
      </c>
      <c r="BE199" s="25" t="str">
        <f>IF(A199="","",IF(BZ199&lt;&gt;"ПОЛНО","BLOCK: неполная форма",IF(O199&lt;&gt;"Да","BLOCK: ввоз не разрешён",IF(P199&lt;&gt;"Да","BLOCK: документы не подтверждены",IF(ABS(AN199-1)&gt;'03_Настройки'!$B$5,"BLOCK: платежи не 100%",IF(AND(BM199&lt;&gt;"",BM199&lt;&gt;"Активна"),"BLOCK: позиция "&amp;BM199,IF(BA199&lt;&gt;"Да","PARTIAL: не покрывает потребность",IF(BB199="ДА","самый дешёвый"&amp;IF(BC199="ДА"," + быстрый","")&amp;IF(BD199="ДА"," + optimal",""),IF(BC199="ДА","самый быстрый"&amp;IF(BD199="ДА"," + optimal",""),IF(BD199="ДА","optimal","Допущен"))))))))))</f>
        <v/>
      </c>
      <c r="BF199" s="25">
        <f>ROW()</f>
        <v>199</v>
      </c>
      <c r="BG199" s="33"/>
      <c r="BH199" s="33"/>
      <c r="BI199" s="33"/>
      <c r="BJ199" s="33"/>
      <c r="BK199" s="33"/>
      <c r="BL199" s="34"/>
      <c r="BM199" s="33"/>
      <c r="BN199" s="35" t="str">
        <f t="shared" si="136"/>
        <v/>
      </c>
      <c r="BO199" s="36" t="str">
        <f t="shared" si="137"/>
        <v/>
      </c>
      <c r="BP199" s="33"/>
      <c r="BQ199" s="38"/>
      <c r="BR199" s="13"/>
      <c r="BS199" s="13"/>
      <c r="BT199" s="13"/>
      <c r="BU199" s="13"/>
      <c r="BV199" s="13"/>
      <c r="BW199" s="13"/>
      <c r="BX199" s="39" t="str">
        <f t="shared" si="138"/>
        <v/>
      </c>
      <c r="BY199" s="47"/>
      <c r="BZ199" s="48" t="str">
        <f t="shared" si="139"/>
        <v/>
      </c>
      <c r="CA199" s="47"/>
      <c r="CB199" s="47"/>
      <c r="CC199" s="47"/>
    </row>
    <row r="200" spans="1:81" ht="14.25" x14ac:dyDescent="0.45">
      <c r="A200" s="10"/>
      <c r="B200" s="10"/>
      <c r="C200" s="10"/>
      <c r="D200" s="10"/>
      <c r="E200" s="10"/>
      <c r="F200" s="10"/>
      <c r="G200" s="10"/>
      <c r="H200" s="25" t="str">
        <f>IFERROR(VLOOKUP(C200,'01_Поставщики'!$A$4:$M$11,2,FALSE()),"")</f>
        <v/>
      </c>
      <c r="I200" s="10"/>
      <c r="J200" s="25" t="str">
        <f>IFERROR(VLOOKUP(C200,'01_Поставщики'!$A$4:$M$11,8,FALSE()),"")</f>
        <v/>
      </c>
      <c r="K200" s="25" t="str">
        <f>IFERROR(VLOOKUP(C200,'01_Поставщики'!$A$4:$M$11,4,FALSE()),"")</f>
        <v/>
      </c>
      <c r="L200" s="25" t="str">
        <f>IFERROR(VLOOKUP(C200,'01_Поставщики'!$A$4:$M$11,10,FALSE()),"")</f>
        <v/>
      </c>
      <c r="M200" s="26" t="str">
        <f>IF(OR(A200="",B200=""),"",IFERROR(SUMIFS('04_Потребность'!$B$4:$B$103,'04_Потребность'!$A$4:$A$103,A200,'04_Потребность'!$C$4:$C$103,B200),0))</f>
        <v/>
      </c>
      <c r="N200" s="11"/>
      <c r="O200" s="10"/>
      <c r="P200" s="10"/>
      <c r="Q200" s="27"/>
      <c r="R200" s="27"/>
      <c r="S200" s="8"/>
      <c r="T200" s="8">
        <f>IFERROR(INDEX('02_Схемы оплаты'!$C$4:$C$19,MATCH($C200&amp;"|"&amp;$G200,'02_Схемы оплаты'!$H$4:$H$19,0)),0)</f>
        <v>0</v>
      </c>
      <c r="U200" s="11"/>
      <c r="V200" s="28"/>
      <c r="W200" s="8"/>
      <c r="X200" s="8">
        <f>IFERROR(INDEX('02_Схемы оплаты'!$D$4:$D$19,MATCH($C200&amp;"|"&amp;$G200,'02_Схемы оплаты'!$H$4:$H$19,0)),0)</f>
        <v>0</v>
      </c>
      <c r="Y200" s="11"/>
      <c r="Z200" s="28"/>
      <c r="AA200" s="8"/>
      <c r="AB200" s="8">
        <f>IFERROR(INDEX('02_Схемы оплаты'!$E$4:$E$19,MATCH($C200&amp;"|"&amp;$G200,'02_Схемы оплаты'!$H$4:$H$19,0)),0)</f>
        <v>0</v>
      </c>
      <c r="AC200" s="11"/>
      <c r="AD200" s="28"/>
      <c r="AE200" s="8"/>
      <c r="AF200" s="10"/>
      <c r="AG200" s="10"/>
      <c r="AH200" s="25">
        <f>IFERROR(SUMIFS('04_Потребность'!$D$4:$D$103,'04_Потребность'!$A$4:$A$103,A200,'04_Потребность'!$C$4:$C$103,B200),0)</f>
        <v>0</v>
      </c>
      <c r="AI200" s="26" t="str">
        <f>IF(OR(A200="",B200=""),"",IFERROR(SUMIFS('04_Потребность'!$E$4:$E$103,'04_Потребность'!$A$4:$A$103,A200,'04_Потребность'!$C$4:$C$103,B200),0))</f>
        <v/>
      </c>
      <c r="AJ200" s="25" t="str">
        <f>IF(OR(A200="",B200=""),"",IFERROR(SUMIFS('04_Потребность'!$F$4:$F$103,'04_Потребность'!$A$4:$A$103,A200,'04_Потребность'!$C$4:$C$103,B200),0))</f>
        <v/>
      </c>
      <c r="AK200" s="29" t="str">
        <f>IF(OR(A200="",B200=""),"",IFERROR(SUMIFS('04_Потребность'!$G$4:$G$103,'04_Потребность'!$A$4:$A$103,A200,'04_Потребность'!$C$4:$C$103,B200),0))</f>
        <v/>
      </c>
      <c r="AL200" s="25" t="str">
        <f>IF('03_Настройки'!$B$7="Нет","Нет",IF(COUNTIFS('04_Потребность'!$A$4:$A$103,A200,'04_Потребность'!$C$4:$C$103,B200,'04_Потребность'!$H$4:$H$103,"Да")&gt;0,"Да","Нет"))</f>
        <v>Нет</v>
      </c>
      <c r="AM200" s="30">
        <f t="shared" si="120"/>
        <v>0</v>
      </c>
      <c r="AN200" s="30">
        <f t="shared" si="121"/>
        <v>0</v>
      </c>
      <c r="AO200" s="29">
        <f t="shared" si="122"/>
        <v>0</v>
      </c>
      <c r="AP200" s="29">
        <f t="shared" si="123"/>
        <v>0</v>
      </c>
      <c r="AQ200" s="29">
        <f t="shared" si="124"/>
        <v>0</v>
      </c>
      <c r="AR200" s="29">
        <f>IFERROR(E200*'03_Настройки'!$B$4/365*(IF(T200&gt;0,T200*V200*(1+W200)*MAX(0,N200-U200),0)+IF(X200&gt;0,X200*Z200*(1+AA200)*MAX(0,N200-Y200),0)+IF(AB200&gt;0,AB200*AD200*(1+AE200)*MAX(0,N200-AC200),0)),0)</f>
        <v>0</v>
      </c>
      <c r="AS200" s="29">
        <f t="shared" si="125"/>
        <v>0</v>
      </c>
      <c r="AT200" s="31">
        <f t="shared" si="126"/>
        <v>0</v>
      </c>
      <c r="AU200" s="31">
        <f t="shared" si="127"/>
        <v>0</v>
      </c>
      <c r="AV200" s="32">
        <f t="shared" si="128"/>
        <v>0</v>
      </c>
      <c r="AW200" s="29" t="e">
        <f t="shared" si="129"/>
        <v>#VALUE!</v>
      </c>
      <c r="AX200" s="29">
        <f t="shared" si="130"/>
        <v>0</v>
      </c>
      <c r="AY200" s="29" t="e">
        <f t="shared" si="131"/>
        <v>#VALUE!</v>
      </c>
      <c r="AZ200" s="25" t="str">
        <f>IF(AND(A200&lt;&gt;"",B200&lt;&gt;"",C200&lt;&gt;"",D200&gt;0,E200&gt;0,N200&lt;&gt;"",AH200&gt;0,O200="Да",P200="Да",BZ200="ПОЛНО",ABS(AN200-1)&lt;='03_Настройки'!$B$5,IF(T200&gt;0,AND(U200&lt;&gt;"",V200&gt;0),TRUE()),IF(X200&gt;0,AND(Y200&lt;&gt;"",Z200&gt;0),TRUE()),IF(AB200&gt;0,AND(AC200&lt;&gt;"",AD200&gt;0),TRUE()),OR(BM200="",BM200="Активна")),"Да","Нет")</f>
        <v>Нет</v>
      </c>
      <c r="BA200" s="25" t="str">
        <f t="shared" si="132"/>
        <v>Нет</v>
      </c>
      <c r="BB200" s="25" t="str">
        <f t="shared" si="133"/>
        <v/>
      </c>
      <c r="BC200" s="25" t="str">
        <f t="shared" si="134"/>
        <v/>
      </c>
      <c r="BD200" s="25" t="str">
        <f t="shared" si="135"/>
        <v/>
      </c>
      <c r="BE200" s="25" t="str">
        <f>IF(A200="","",IF(BZ200&lt;&gt;"ПОЛНО","BLOCK: неполная форма",IF(O200&lt;&gt;"Да","BLOCK: ввоз не разрешён",IF(P200&lt;&gt;"Да","BLOCK: документы не подтверждены",IF(ABS(AN200-1)&gt;'03_Настройки'!$B$5,"BLOCK: платежи не 100%",IF(AND(BM200&lt;&gt;"",BM200&lt;&gt;"Активна"),"BLOCK: позиция "&amp;BM200,IF(BA200&lt;&gt;"Да","PARTIAL: не покрывает потребность",IF(BB200="ДА","самый дешёвый"&amp;IF(BC200="ДА"," + быстрый","")&amp;IF(BD200="ДА"," + optimal",""),IF(BC200="ДА","самый быстрый"&amp;IF(BD200="ДА"," + optimal",""),IF(BD200="ДА","optimal","Допущен"))))))))))</f>
        <v/>
      </c>
      <c r="BF200" s="25">
        <f>ROW()</f>
        <v>200</v>
      </c>
      <c r="BG200" s="33"/>
      <c r="BH200" s="33"/>
      <c r="BI200" s="33"/>
      <c r="BJ200" s="33"/>
      <c r="BK200" s="33"/>
      <c r="BL200" s="34"/>
      <c r="BM200" s="33"/>
      <c r="BN200" s="35" t="str">
        <f t="shared" si="136"/>
        <v/>
      </c>
      <c r="BO200" s="36" t="str">
        <f t="shared" si="137"/>
        <v/>
      </c>
      <c r="BP200" s="33"/>
      <c r="BQ200" s="38"/>
      <c r="BR200" s="13"/>
      <c r="BS200" s="13"/>
      <c r="BT200" s="13"/>
      <c r="BU200" s="13"/>
      <c r="BV200" s="13"/>
      <c r="BW200" s="13"/>
      <c r="BX200" s="39" t="str">
        <f t="shared" si="138"/>
        <v/>
      </c>
      <c r="BY200" s="47"/>
      <c r="BZ200" s="48" t="str">
        <f t="shared" si="139"/>
        <v/>
      </c>
      <c r="CA200" s="47"/>
      <c r="CB200" s="47"/>
      <c r="CC200" s="47"/>
    </row>
    <row r="201" spans="1:81" ht="14.25" x14ac:dyDescent="0.45">
      <c r="A201" s="10"/>
      <c r="B201" s="10"/>
      <c r="C201" s="10"/>
      <c r="D201" s="10"/>
      <c r="E201" s="10"/>
      <c r="F201" s="10"/>
      <c r="G201" s="10"/>
      <c r="H201" s="25" t="str">
        <f>IFERROR(VLOOKUP(C201,'01_Поставщики'!$A$4:$M$11,2,FALSE()),"")</f>
        <v/>
      </c>
      <c r="I201" s="10"/>
      <c r="J201" s="25" t="str">
        <f>IFERROR(VLOOKUP(C201,'01_Поставщики'!$A$4:$M$11,8,FALSE()),"")</f>
        <v/>
      </c>
      <c r="K201" s="25" t="str">
        <f>IFERROR(VLOOKUP(C201,'01_Поставщики'!$A$4:$M$11,4,FALSE()),"")</f>
        <v/>
      </c>
      <c r="L201" s="25" t="str">
        <f>IFERROR(VLOOKUP(C201,'01_Поставщики'!$A$4:$M$11,10,FALSE()),"")</f>
        <v/>
      </c>
      <c r="M201" s="26" t="str">
        <f>IF(OR(A201="",B201=""),"",IFERROR(SUMIFS('04_Потребность'!$B$4:$B$103,'04_Потребность'!$A$4:$A$103,A201,'04_Потребность'!$C$4:$C$103,B201),0))</f>
        <v/>
      </c>
      <c r="N201" s="11"/>
      <c r="O201" s="10"/>
      <c r="P201" s="10"/>
      <c r="Q201" s="27"/>
      <c r="R201" s="27"/>
      <c r="S201" s="8"/>
      <c r="T201" s="8">
        <f>IFERROR(INDEX('02_Схемы оплаты'!$C$4:$C$19,MATCH($C201&amp;"|"&amp;$G201,'02_Схемы оплаты'!$H$4:$H$19,0)),0)</f>
        <v>0</v>
      </c>
      <c r="U201" s="11"/>
      <c r="V201" s="28"/>
      <c r="W201" s="8"/>
      <c r="X201" s="8">
        <f>IFERROR(INDEX('02_Схемы оплаты'!$D$4:$D$19,MATCH($C201&amp;"|"&amp;$G201,'02_Схемы оплаты'!$H$4:$H$19,0)),0)</f>
        <v>0</v>
      </c>
      <c r="Y201" s="11"/>
      <c r="Z201" s="28"/>
      <c r="AA201" s="8"/>
      <c r="AB201" s="8">
        <f>IFERROR(INDEX('02_Схемы оплаты'!$E$4:$E$19,MATCH($C201&amp;"|"&amp;$G201,'02_Схемы оплаты'!$H$4:$H$19,0)),0)</f>
        <v>0</v>
      </c>
      <c r="AC201" s="11"/>
      <c r="AD201" s="28"/>
      <c r="AE201" s="8"/>
      <c r="AF201" s="10"/>
      <c r="AG201" s="10"/>
      <c r="AH201" s="25">
        <f>IFERROR(SUMIFS('04_Потребность'!$D$4:$D$103,'04_Потребность'!$A$4:$A$103,A201,'04_Потребность'!$C$4:$C$103,B201),0)</f>
        <v>0</v>
      </c>
      <c r="AI201" s="26" t="str">
        <f>IF(OR(A201="",B201=""),"",IFERROR(SUMIFS('04_Потребность'!$E$4:$E$103,'04_Потребность'!$A$4:$A$103,A201,'04_Потребность'!$C$4:$C$103,B201),0))</f>
        <v/>
      </c>
      <c r="AJ201" s="25" t="str">
        <f>IF(OR(A201="",B201=""),"",IFERROR(SUMIFS('04_Потребность'!$F$4:$F$103,'04_Потребность'!$A$4:$A$103,A201,'04_Потребность'!$C$4:$C$103,B201),0))</f>
        <v/>
      </c>
      <c r="AK201" s="29" t="str">
        <f>IF(OR(A201="",B201=""),"",IFERROR(SUMIFS('04_Потребность'!$G$4:$G$103,'04_Потребность'!$A$4:$A$103,A201,'04_Потребность'!$C$4:$C$103,B201),0))</f>
        <v/>
      </c>
      <c r="AL201" s="25" t="str">
        <f>IF('03_Настройки'!$B$7="Нет","Нет",IF(COUNTIFS('04_Потребность'!$A$4:$A$103,A201,'04_Потребность'!$C$4:$C$103,B201,'04_Потребность'!$H$4:$H$103,"Да")&gt;0,"Да","Нет"))</f>
        <v>Нет</v>
      </c>
      <c r="AM201" s="30">
        <f t="shared" si="120"/>
        <v>0</v>
      </c>
      <c r="AN201" s="30">
        <f t="shared" si="121"/>
        <v>0</v>
      </c>
      <c r="AO201" s="29">
        <f t="shared" si="122"/>
        <v>0</v>
      </c>
      <c r="AP201" s="29">
        <f t="shared" si="123"/>
        <v>0</v>
      </c>
      <c r="AQ201" s="29">
        <f t="shared" si="124"/>
        <v>0</v>
      </c>
      <c r="AR201" s="29">
        <f>IFERROR(E201*'03_Настройки'!$B$4/365*(IF(T201&gt;0,T201*V201*(1+W201)*MAX(0,N201-U201),0)+IF(X201&gt;0,X201*Z201*(1+AA201)*MAX(0,N201-Y201),0)+IF(AB201&gt;0,AB201*AD201*(1+AE201)*MAX(0,N201-AC201),0)),0)</f>
        <v>0</v>
      </c>
      <c r="AS201" s="29">
        <f t="shared" si="125"/>
        <v>0</v>
      </c>
      <c r="AT201" s="31">
        <f t="shared" si="126"/>
        <v>0</v>
      </c>
      <c r="AU201" s="31">
        <f t="shared" si="127"/>
        <v>0</v>
      </c>
      <c r="AV201" s="32">
        <f t="shared" si="128"/>
        <v>0</v>
      </c>
      <c r="AW201" s="29" t="e">
        <f t="shared" si="129"/>
        <v>#VALUE!</v>
      </c>
      <c r="AX201" s="29">
        <f t="shared" si="130"/>
        <v>0</v>
      </c>
      <c r="AY201" s="29" t="e">
        <f t="shared" si="131"/>
        <v>#VALUE!</v>
      </c>
      <c r="AZ201" s="25" t="str">
        <f>IF(AND(A201&lt;&gt;"",B201&lt;&gt;"",C201&lt;&gt;"",D201&gt;0,E201&gt;0,N201&lt;&gt;"",AH201&gt;0,O201="Да",P201="Да",BZ201="ПОЛНО",ABS(AN201-1)&lt;='03_Настройки'!$B$5,IF(T201&gt;0,AND(U201&lt;&gt;"",V201&gt;0),TRUE()),IF(X201&gt;0,AND(Y201&lt;&gt;"",Z201&gt;0),TRUE()),IF(AB201&gt;0,AND(AC201&lt;&gt;"",AD201&gt;0),TRUE()),OR(BM201="",BM201="Активна")),"Да","Нет")</f>
        <v>Нет</v>
      </c>
      <c r="BA201" s="25" t="str">
        <f t="shared" si="132"/>
        <v>Нет</v>
      </c>
      <c r="BB201" s="25" t="str">
        <f t="shared" si="133"/>
        <v/>
      </c>
      <c r="BC201" s="25" t="str">
        <f t="shared" si="134"/>
        <v/>
      </c>
      <c r="BD201" s="25" t="str">
        <f t="shared" si="135"/>
        <v/>
      </c>
      <c r="BE201" s="25" t="str">
        <f>IF(A201="","",IF(BZ201&lt;&gt;"ПОЛНО","BLOCK: неполная форма",IF(O201&lt;&gt;"Да","BLOCK: ввоз не разрешён",IF(P201&lt;&gt;"Да","BLOCK: документы не подтверждены",IF(ABS(AN201-1)&gt;'03_Настройки'!$B$5,"BLOCK: платежи не 100%",IF(AND(BM201&lt;&gt;"",BM201&lt;&gt;"Активна"),"BLOCK: позиция "&amp;BM201,IF(BA201&lt;&gt;"Да","PARTIAL: не покрывает потребность",IF(BB201="ДА","самый дешёвый"&amp;IF(BC201="ДА"," + быстрый","")&amp;IF(BD201="ДА"," + optimal",""),IF(BC201="ДА","самый быстрый"&amp;IF(BD201="ДА"," + optimal",""),IF(BD201="ДА","optimal","Допущен"))))))))))</f>
        <v/>
      </c>
      <c r="BF201" s="25">
        <f>ROW()</f>
        <v>201</v>
      </c>
      <c r="BG201" s="33"/>
      <c r="BH201" s="33"/>
      <c r="BI201" s="33"/>
      <c r="BJ201" s="33"/>
      <c r="BK201" s="33"/>
      <c r="BL201" s="34"/>
      <c r="BM201" s="33"/>
      <c r="BN201" s="35" t="str">
        <f t="shared" si="136"/>
        <v/>
      </c>
      <c r="BO201" s="36" t="str">
        <f t="shared" si="137"/>
        <v/>
      </c>
      <c r="BP201" s="33"/>
      <c r="BQ201" s="38"/>
      <c r="BR201" s="13"/>
      <c r="BS201" s="13"/>
      <c r="BT201" s="13"/>
      <c r="BU201" s="13"/>
      <c r="BV201" s="13"/>
      <c r="BW201" s="13"/>
      <c r="BX201" s="39" t="str">
        <f t="shared" si="138"/>
        <v/>
      </c>
      <c r="BY201" s="47"/>
      <c r="BZ201" s="48" t="str">
        <f t="shared" si="139"/>
        <v/>
      </c>
      <c r="CA201" s="47"/>
      <c r="CB201" s="47"/>
      <c r="CC201" s="47"/>
    </row>
    <row r="202" spans="1:81" ht="14.25" x14ac:dyDescent="0.45">
      <c r="A202" s="10"/>
      <c r="B202" s="10"/>
      <c r="C202" s="10"/>
      <c r="D202" s="10"/>
      <c r="E202" s="10"/>
      <c r="F202" s="10"/>
      <c r="G202" s="10"/>
      <c r="H202" s="25" t="str">
        <f>IFERROR(VLOOKUP(C202,'01_Поставщики'!$A$4:$M$11,2,FALSE()),"")</f>
        <v/>
      </c>
      <c r="I202" s="10"/>
      <c r="J202" s="25" t="str">
        <f>IFERROR(VLOOKUP(C202,'01_Поставщики'!$A$4:$M$11,8,FALSE()),"")</f>
        <v/>
      </c>
      <c r="K202" s="25" t="str">
        <f>IFERROR(VLOOKUP(C202,'01_Поставщики'!$A$4:$M$11,4,FALSE()),"")</f>
        <v/>
      </c>
      <c r="L202" s="25" t="str">
        <f>IFERROR(VLOOKUP(C202,'01_Поставщики'!$A$4:$M$11,10,FALSE()),"")</f>
        <v/>
      </c>
      <c r="M202" s="26" t="str">
        <f>IF(OR(A202="",B202=""),"",IFERROR(SUMIFS('04_Потребность'!$B$4:$B$103,'04_Потребность'!$A$4:$A$103,A202,'04_Потребность'!$C$4:$C$103,B202),0))</f>
        <v/>
      </c>
      <c r="N202" s="11"/>
      <c r="O202" s="10"/>
      <c r="P202" s="10"/>
      <c r="Q202" s="27"/>
      <c r="R202" s="27"/>
      <c r="S202" s="8"/>
      <c r="T202" s="8">
        <f>IFERROR(INDEX('02_Схемы оплаты'!$C$4:$C$19,MATCH($C202&amp;"|"&amp;$G202,'02_Схемы оплаты'!$H$4:$H$19,0)),0)</f>
        <v>0</v>
      </c>
      <c r="U202" s="11"/>
      <c r="V202" s="28"/>
      <c r="W202" s="8"/>
      <c r="X202" s="8">
        <f>IFERROR(INDEX('02_Схемы оплаты'!$D$4:$D$19,MATCH($C202&amp;"|"&amp;$G202,'02_Схемы оплаты'!$H$4:$H$19,0)),0)</f>
        <v>0</v>
      </c>
      <c r="Y202" s="11"/>
      <c r="Z202" s="28"/>
      <c r="AA202" s="8"/>
      <c r="AB202" s="8">
        <f>IFERROR(INDEX('02_Схемы оплаты'!$E$4:$E$19,MATCH($C202&amp;"|"&amp;$G202,'02_Схемы оплаты'!$H$4:$H$19,0)),0)</f>
        <v>0</v>
      </c>
      <c r="AC202" s="11"/>
      <c r="AD202" s="28"/>
      <c r="AE202" s="8"/>
      <c r="AF202" s="10"/>
      <c r="AG202" s="10"/>
      <c r="AH202" s="25">
        <f>IFERROR(SUMIFS('04_Потребность'!$D$4:$D$103,'04_Потребность'!$A$4:$A$103,A202,'04_Потребность'!$C$4:$C$103,B202),0)</f>
        <v>0</v>
      </c>
      <c r="AI202" s="26" t="str">
        <f>IF(OR(A202="",B202=""),"",IFERROR(SUMIFS('04_Потребность'!$E$4:$E$103,'04_Потребность'!$A$4:$A$103,A202,'04_Потребность'!$C$4:$C$103,B202),0))</f>
        <v/>
      </c>
      <c r="AJ202" s="25" t="str">
        <f>IF(OR(A202="",B202=""),"",IFERROR(SUMIFS('04_Потребность'!$F$4:$F$103,'04_Потребность'!$A$4:$A$103,A202,'04_Потребность'!$C$4:$C$103,B202),0))</f>
        <v/>
      </c>
      <c r="AK202" s="29" t="str">
        <f>IF(OR(A202="",B202=""),"",IFERROR(SUMIFS('04_Потребность'!$G$4:$G$103,'04_Потребность'!$A$4:$A$103,A202,'04_Потребность'!$C$4:$C$103,B202),0))</f>
        <v/>
      </c>
      <c r="AL202" s="25" t="str">
        <f>IF('03_Настройки'!$B$7="Нет","Нет",IF(COUNTIFS('04_Потребность'!$A$4:$A$103,A202,'04_Потребность'!$C$4:$C$103,B202,'04_Потребность'!$H$4:$H$103,"Да")&gt;0,"Да","Нет"))</f>
        <v>Нет</v>
      </c>
      <c r="AM202" s="30">
        <f t="shared" si="120"/>
        <v>0</v>
      </c>
      <c r="AN202" s="30">
        <f t="shared" si="121"/>
        <v>0</v>
      </c>
      <c r="AO202" s="29">
        <f t="shared" si="122"/>
        <v>0</v>
      </c>
      <c r="AP202" s="29">
        <f t="shared" si="123"/>
        <v>0</v>
      </c>
      <c r="AQ202" s="29">
        <f t="shared" si="124"/>
        <v>0</v>
      </c>
      <c r="AR202" s="29">
        <f>IFERROR(E202*'03_Настройки'!$B$4/365*(IF(T202&gt;0,T202*V202*(1+W202)*MAX(0,N202-U202),0)+IF(X202&gt;0,X202*Z202*(1+AA202)*MAX(0,N202-Y202),0)+IF(AB202&gt;0,AB202*AD202*(1+AE202)*MAX(0,N202-AC202),0)),0)</f>
        <v>0</v>
      </c>
      <c r="AS202" s="29">
        <f t="shared" si="125"/>
        <v>0</v>
      </c>
      <c r="AT202" s="31">
        <f t="shared" si="126"/>
        <v>0</v>
      </c>
      <c r="AU202" s="31">
        <f t="shared" si="127"/>
        <v>0</v>
      </c>
      <c r="AV202" s="32">
        <f t="shared" si="128"/>
        <v>0</v>
      </c>
      <c r="AW202" s="29" t="e">
        <f t="shared" si="129"/>
        <v>#VALUE!</v>
      </c>
      <c r="AX202" s="29">
        <f t="shared" si="130"/>
        <v>0</v>
      </c>
      <c r="AY202" s="29" t="e">
        <f t="shared" si="131"/>
        <v>#VALUE!</v>
      </c>
      <c r="AZ202" s="25" t="str">
        <f>IF(AND(A202&lt;&gt;"",B202&lt;&gt;"",C202&lt;&gt;"",D202&gt;0,E202&gt;0,N202&lt;&gt;"",AH202&gt;0,O202="Да",P202="Да",BZ202="ПОЛНО",ABS(AN202-1)&lt;='03_Настройки'!$B$5,IF(T202&gt;0,AND(U202&lt;&gt;"",V202&gt;0),TRUE()),IF(X202&gt;0,AND(Y202&lt;&gt;"",Z202&gt;0),TRUE()),IF(AB202&gt;0,AND(AC202&lt;&gt;"",AD202&gt;0),TRUE()),OR(BM202="",BM202="Активна")),"Да","Нет")</f>
        <v>Нет</v>
      </c>
      <c r="BA202" s="25" t="str">
        <f t="shared" si="132"/>
        <v>Нет</v>
      </c>
      <c r="BB202" s="25" t="str">
        <f t="shared" si="133"/>
        <v/>
      </c>
      <c r="BC202" s="25" t="str">
        <f t="shared" si="134"/>
        <v/>
      </c>
      <c r="BD202" s="25" t="str">
        <f t="shared" si="135"/>
        <v/>
      </c>
      <c r="BE202" s="25" t="str">
        <f>IF(A202="","",IF(BZ202&lt;&gt;"ПОЛНО","BLOCK: неполная форма",IF(O202&lt;&gt;"Да","BLOCK: ввоз не разрешён",IF(P202&lt;&gt;"Да","BLOCK: документы не подтверждены",IF(ABS(AN202-1)&gt;'03_Настройки'!$B$5,"BLOCK: платежи не 100%",IF(AND(BM202&lt;&gt;"",BM202&lt;&gt;"Активна"),"BLOCK: позиция "&amp;BM202,IF(BA202&lt;&gt;"Да","PARTIAL: не покрывает потребность",IF(BB202="ДА","самый дешёвый"&amp;IF(BC202="ДА"," + быстрый","")&amp;IF(BD202="ДА"," + optimal",""),IF(BC202="ДА","самый быстрый"&amp;IF(BD202="ДА"," + optimal",""),IF(BD202="ДА","optimal","Допущен"))))))))))</f>
        <v/>
      </c>
      <c r="BF202" s="25">
        <f>ROW()</f>
        <v>202</v>
      </c>
      <c r="BG202" s="33"/>
      <c r="BH202" s="33"/>
      <c r="BI202" s="33"/>
      <c r="BJ202" s="33"/>
      <c r="BK202" s="33"/>
      <c r="BL202" s="34"/>
      <c r="BM202" s="33"/>
      <c r="BN202" s="35" t="str">
        <f t="shared" si="136"/>
        <v/>
      </c>
      <c r="BO202" s="36" t="str">
        <f t="shared" si="137"/>
        <v/>
      </c>
      <c r="BP202" s="33"/>
      <c r="BQ202" s="38"/>
      <c r="BR202" s="13"/>
      <c r="BS202" s="13"/>
      <c r="BT202" s="13"/>
      <c r="BU202" s="13"/>
      <c r="BV202" s="13"/>
      <c r="BW202" s="13"/>
      <c r="BX202" s="39" t="str">
        <f t="shared" si="138"/>
        <v/>
      </c>
      <c r="BY202" s="47"/>
      <c r="BZ202" s="48" t="str">
        <f t="shared" si="139"/>
        <v/>
      </c>
      <c r="CA202" s="47"/>
      <c r="CB202" s="47"/>
      <c r="CC202" s="47"/>
    </row>
    <row r="203" spans="1:81" ht="14.25" x14ac:dyDescent="0.45">
      <c r="A203" s="10"/>
      <c r="B203" s="10"/>
      <c r="C203" s="10"/>
      <c r="D203" s="10"/>
      <c r="E203" s="10"/>
      <c r="F203" s="10"/>
      <c r="G203" s="10"/>
      <c r="H203" s="25" t="str">
        <f>IFERROR(VLOOKUP(C203,'01_Поставщики'!$A$4:$M$11,2,FALSE()),"")</f>
        <v/>
      </c>
      <c r="I203" s="10"/>
      <c r="J203" s="25" t="str">
        <f>IFERROR(VLOOKUP(C203,'01_Поставщики'!$A$4:$M$11,8,FALSE()),"")</f>
        <v/>
      </c>
      <c r="K203" s="25" t="str">
        <f>IFERROR(VLOOKUP(C203,'01_Поставщики'!$A$4:$M$11,4,FALSE()),"")</f>
        <v/>
      </c>
      <c r="L203" s="25" t="str">
        <f>IFERROR(VLOOKUP(C203,'01_Поставщики'!$A$4:$M$11,10,FALSE()),"")</f>
        <v/>
      </c>
      <c r="M203" s="26" t="str">
        <f>IF(OR(A203="",B203=""),"",IFERROR(SUMIFS('04_Потребность'!$B$4:$B$103,'04_Потребность'!$A$4:$A$103,A203,'04_Потребность'!$C$4:$C$103,B203),0))</f>
        <v/>
      </c>
      <c r="N203" s="11"/>
      <c r="O203" s="10"/>
      <c r="P203" s="10"/>
      <c r="Q203" s="27"/>
      <c r="R203" s="27"/>
      <c r="S203" s="8"/>
      <c r="T203" s="8">
        <f>IFERROR(INDEX('02_Схемы оплаты'!$C$4:$C$19,MATCH($C203&amp;"|"&amp;$G203,'02_Схемы оплаты'!$H$4:$H$19,0)),0)</f>
        <v>0</v>
      </c>
      <c r="U203" s="11"/>
      <c r="V203" s="28"/>
      <c r="W203" s="8"/>
      <c r="X203" s="8">
        <f>IFERROR(INDEX('02_Схемы оплаты'!$D$4:$D$19,MATCH($C203&amp;"|"&amp;$G203,'02_Схемы оплаты'!$H$4:$H$19,0)),0)</f>
        <v>0</v>
      </c>
      <c r="Y203" s="11"/>
      <c r="Z203" s="28"/>
      <c r="AA203" s="8"/>
      <c r="AB203" s="8">
        <f>IFERROR(INDEX('02_Схемы оплаты'!$E$4:$E$19,MATCH($C203&amp;"|"&amp;$G203,'02_Схемы оплаты'!$H$4:$H$19,0)),0)</f>
        <v>0</v>
      </c>
      <c r="AC203" s="11"/>
      <c r="AD203" s="28"/>
      <c r="AE203" s="8"/>
      <c r="AF203" s="10"/>
      <c r="AG203" s="10"/>
      <c r="AH203" s="25">
        <f>IFERROR(SUMIFS('04_Потребность'!$D$4:$D$103,'04_Потребность'!$A$4:$A$103,A203,'04_Потребность'!$C$4:$C$103,B203),0)</f>
        <v>0</v>
      </c>
      <c r="AI203" s="26" t="str">
        <f>IF(OR(A203="",B203=""),"",IFERROR(SUMIFS('04_Потребность'!$E$4:$E$103,'04_Потребность'!$A$4:$A$103,A203,'04_Потребность'!$C$4:$C$103,B203),0))</f>
        <v/>
      </c>
      <c r="AJ203" s="25" t="str">
        <f>IF(OR(A203="",B203=""),"",IFERROR(SUMIFS('04_Потребность'!$F$4:$F$103,'04_Потребность'!$A$4:$A$103,A203,'04_Потребность'!$C$4:$C$103,B203),0))</f>
        <v/>
      </c>
      <c r="AK203" s="29" t="str">
        <f>IF(OR(A203="",B203=""),"",IFERROR(SUMIFS('04_Потребность'!$G$4:$G$103,'04_Потребность'!$A$4:$A$103,A203,'04_Потребность'!$C$4:$C$103,B203),0))</f>
        <v/>
      </c>
      <c r="AL203" s="25" t="str">
        <f>IF('03_Настройки'!$B$7="Нет","Нет",IF(COUNTIFS('04_Потребность'!$A$4:$A$103,A203,'04_Потребность'!$C$4:$C$103,B203,'04_Потребность'!$H$4:$H$103,"Да")&gt;0,"Да","Нет"))</f>
        <v>Нет</v>
      </c>
      <c r="AM203" s="30">
        <f t="shared" si="120"/>
        <v>0</v>
      </c>
      <c r="AN203" s="30">
        <f t="shared" si="121"/>
        <v>0</v>
      </c>
      <c r="AO203" s="29">
        <f t="shared" si="122"/>
        <v>0</v>
      </c>
      <c r="AP203" s="29">
        <f t="shared" si="123"/>
        <v>0</v>
      </c>
      <c r="AQ203" s="29">
        <f t="shared" si="124"/>
        <v>0</v>
      </c>
      <c r="AR203" s="29">
        <f>IFERROR(E203*'03_Настройки'!$B$4/365*(IF(T203&gt;0,T203*V203*(1+W203)*MAX(0,N203-U203),0)+IF(X203&gt;0,X203*Z203*(1+AA203)*MAX(0,N203-Y203),0)+IF(AB203&gt;0,AB203*AD203*(1+AE203)*MAX(0,N203-AC203),0)),0)</f>
        <v>0</v>
      </c>
      <c r="AS203" s="29">
        <f t="shared" si="125"/>
        <v>0</v>
      </c>
      <c r="AT203" s="31">
        <f t="shared" si="126"/>
        <v>0</v>
      </c>
      <c r="AU203" s="31">
        <f t="shared" si="127"/>
        <v>0</v>
      </c>
      <c r="AV203" s="32">
        <f t="shared" si="128"/>
        <v>0</v>
      </c>
      <c r="AW203" s="29" t="e">
        <f t="shared" si="129"/>
        <v>#VALUE!</v>
      </c>
      <c r="AX203" s="29">
        <f t="shared" si="130"/>
        <v>0</v>
      </c>
      <c r="AY203" s="29" t="e">
        <f t="shared" si="131"/>
        <v>#VALUE!</v>
      </c>
      <c r="AZ203" s="25" t="str">
        <f>IF(AND(A203&lt;&gt;"",B203&lt;&gt;"",C203&lt;&gt;"",D203&gt;0,E203&gt;0,N203&lt;&gt;"",AH203&gt;0,O203="Да",P203="Да",BZ203="ПОЛНО",ABS(AN203-1)&lt;='03_Настройки'!$B$5,IF(T203&gt;0,AND(U203&lt;&gt;"",V203&gt;0),TRUE()),IF(X203&gt;0,AND(Y203&lt;&gt;"",Z203&gt;0),TRUE()),IF(AB203&gt;0,AND(AC203&lt;&gt;"",AD203&gt;0),TRUE()),OR(BM203="",BM203="Активна")),"Да","Нет")</f>
        <v>Нет</v>
      </c>
      <c r="BA203" s="25" t="str">
        <f t="shared" si="132"/>
        <v>Нет</v>
      </c>
      <c r="BB203" s="25" t="str">
        <f t="shared" si="133"/>
        <v/>
      </c>
      <c r="BC203" s="25" t="str">
        <f t="shared" si="134"/>
        <v/>
      </c>
      <c r="BD203" s="25" t="str">
        <f t="shared" si="135"/>
        <v/>
      </c>
      <c r="BE203" s="25" t="str">
        <f>IF(A203="","",IF(BZ203&lt;&gt;"ПОЛНО","BLOCK: неполная форма",IF(O203&lt;&gt;"Да","BLOCK: ввоз не разрешён",IF(P203&lt;&gt;"Да","BLOCK: документы не подтверждены",IF(ABS(AN203-1)&gt;'03_Настройки'!$B$5,"BLOCK: платежи не 100%",IF(AND(BM203&lt;&gt;"",BM203&lt;&gt;"Активна"),"BLOCK: позиция "&amp;BM203,IF(BA203&lt;&gt;"Да","PARTIAL: не покрывает потребность",IF(BB203="ДА","самый дешёвый"&amp;IF(BC203="ДА"," + быстрый","")&amp;IF(BD203="ДА"," + optimal",""),IF(BC203="ДА","самый быстрый"&amp;IF(BD203="ДА"," + optimal",""),IF(BD203="ДА","optimal","Допущен"))))))))))</f>
        <v/>
      </c>
      <c r="BF203" s="25">
        <f>ROW()</f>
        <v>203</v>
      </c>
      <c r="BG203" s="33"/>
      <c r="BH203" s="33"/>
      <c r="BI203" s="33"/>
      <c r="BJ203" s="33"/>
      <c r="BK203" s="33"/>
      <c r="BL203" s="34"/>
      <c r="BM203" s="33"/>
      <c r="BN203" s="35" t="str">
        <f t="shared" si="136"/>
        <v/>
      </c>
      <c r="BO203" s="36" t="str">
        <f t="shared" si="137"/>
        <v/>
      </c>
      <c r="BP203" s="33"/>
      <c r="BQ203" s="38"/>
      <c r="BR203" s="13"/>
      <c r="BS203" s="13"/>
      <c r="BT203" s="13"/>
      <c r="BU203" s="13"/>
      <c r="BV203" s="13"/>
      <c r="BW203" s="13"/>
      <c r="BX203" s="39" t="str">
        <f t="shared" si="138"/>
        <v/>
      </c>
      <c r="BY203" s="47"/>
      <c r="BZ203" s="48" t="str">
        <f t="shared" si="139"/>
        <v/>
      </c>
      <c r="CA203" s="47"/>
      <c r="CB203" s="47"/>
      <c r="CC203" s="47"/>
    </row>
  </sheetData>
  <mergeCells count="2">
    <mergeCell ref="A1:BF1"/>
    <mergeCell ref="A2:BF2"/>
  </mergeCells>
  <conditionalFormatting sqref="AZ4:AZ203">
    <cfRule type="expression" dxfId="3" priority="2">
      <formula>AZ4="Нет"</formula>
    </cfRule>
  </conditionalFormatting>
  <conditionalFormatting sqref="BA4:BA203">
    <cfRule type="expression" dxfId="2" priority="3">
      <formula>BA4="Нет"</formula>
    </cfRule>
  </conditionalFormatting>
  <conditionalFormatting sqref="BB4:BD203">
    <cfRule type="expression" dxfId="1" priority="4">
      <formula>BB4="ДА"</formula>
    </cfRule>
  </conditionalFormatting>
  <conditionalFormatting sqref="AF4:AF203">
    <cfRule type="colorScale" priority="5">
      <colorScale>
        <cfvo type="min"/>
        <cfvo type="percentile" val="50"/>
        <cfvo type="max"/>
        <color rgb="FFC6EFCE"/>
        <color rgb="FFFFEB9C"/>
        <color rgb="FFF4CCCC"/>
      </colorScale>
    </cfRule>
  </conditionalFormatting>
  <conditionalFormatting sqref="BZ4:BZ203">
    <cfRule type="expression" dxfId="0" priority="6">
      <formula>BZ4="НЕПОЛНО"</formula>
    </cfRule>
  </conditionalFormatting>
  <dataValidations count="8">
    <dataValidation type="list" sqref="F4:F203">
      <formula1>"USD,RUB,CNY,AED,EUR,Иное"</formula1>
      <formula2>0</formula2>
    </dataValidation>
    <dataValidation type="list" sqref="I4:I203">
      <formula1>"EXW,FCA,FOB,CIP,DAP,DAT,DDP,Иное"</formula1>
      <formula2>0</formula2>
    </dataValidation>
    <dataValidation type="list" sqref="O4:P203">
      <formula1>"Да,Нет"</formula1>
      <formula2>0</formula2>
    </dataValidation>
    <dataValidation type="list" allowBlank="1" sqref="BJ4:BJ203">
      <formula1>"Да,Нет,Не требуется"</formula1>
      <formula2>0</formula2>
    </dataValidation>
    <dataValidation type="list" allowBlank="1" sqref="BM4:BM203">
      <formula1>"Активна,Приостановлена,Отменена"</formula1>
      <formula2>0</formula2>
    </dataValidation>
    <dataValidation type="list" allowBlank="1" sqref="BS4:BS203">
      <formula1>"Поставщик,Patio,Совместно,Иное"</formula1>
      <formula2>0</formula2>
    </dataValidation>
    <dataValidation type="list" allowBlank="1" errorTitle="Проверьте статус" error="Статус документа соответствия влияет на допуск оффера к расчёту (хард-гейт)." sqref="BU4:BU203">
      <formula1>"Да,Нет,Не требуется"</formula1>
      <formula2>0</formula2>
    </dataValidation>
    <dataValidation type="list" sqref="BY4:BY203">
      <formula1>"Да,Нет,Требует проверки"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sqref="A1:XFD1048576"/>
    </sheetView>
  </sheetViews>
  <sheetFormatPr defaultColWidth="8.6640625" defaultRowHeight="12.75" x14ac:dyDescent="0.35"/>
  <cols>
    <col min="1" max="1" width="22" style="1" customWidth="1"/>
    <col min="2" max="2" width="34" style="1" customWidth="1"/>
    <col min="3" max="3" width="24" style="1" customWidth="1"/>
    <col min="4" max="4" width="62" style="1" customWidth="1"/>
    <col min="5" max="5" width="4" style="1" customWidth="1"/>
    <col min="6" max="6" width="18" style="1" customWidth="1"/>
    <col min="7" max="8" width="12" style="1" customWidth="1"/>
  </cols>
  <sheetData>
    <row r="1" spans="1:8" ht="21" x14ac:dyDescent="0.35">
      <c r="A1" s="51" t="s">
        <v>210</v>
      </c>
      <c r="B1" s="51"/>
      <c r="C1" s="51"/>
      <c r="D1" s="51"/>
      <c r="E1" s="51"/>
      <c r="F1" s="51"/>
      <c r="G1" s="51"/>
      <c r="H1" s="51"/>
    </row>
    <row r="3" spans="1:8" ht="14.25" x14ac:dyDescent="0.45">
      <c r="A3" s="7" t="s">
        <v>211</v>
      </c>
    </row>
    <row r="4" spans="1:8" ht="14.25" x14ac:dyDescent="0.45">
      <c r="A4" s="7" t="s">
        <v>128</v>
      </c>
      <c r="B4" s="10"/>
    </row>
    <row r="5" spans="1:8" ht="14.25" x14ac:dyDescent="0.45">
      <c r="A5" s="7" t="s">
        <v>327</v>
      </c>
      <c r="B5" s="10"/>
    </row>
    <row r="6" spans="1:8" ht="14.25" x14ac:dyDescent="0.45">
      <c r="A6" s="7" t="s">
        <v>212</v>
      </c>
      <c r="B6" s="1">
        <f>IFERROR(SUMIFS('04_Потребность'!$D$4:$D$103,'04_Потребность'!$A$4:$A$103,B4,'04_Потребность'!$C$4:$C$103,B5),0)</f>
        <v>0</v>
      </c>
    </row>
    <row r="7" spans="1:8" ht="14.25" x14ac:dyDescent="0.45">
      <c r="A7" s="7" t="s">
        <v>213</v>
      </c>
      <c r="B7" s="40" t="str">
        <f ca="1">IFERROR(_xlfn.MAXIFS('04_Потребность'!$E$4:$E$103,'04_Потребность'!$A$4:$A$103,B4,'04_Потребность'!$C$4:$C$103,B5),"")</f>
        <v/>
      </c>
    </row>
    <row r="8" spans="1:8" x14ac:dyDescent="0.35">
      <c r="A8" t="s">
        <v>78</v>
      </c>
      <c r="B8" t="str">
        <f>IF(B6=0,"Нет потребности",IF(COUNTIFS('05_Офферы'!$A$4:$A$203,B4,'05_Офферы'!$B$4:$B$203,B5,'05_Офферы'!$AZ$4:$AZ$203,"Да",'05_Офферы'!$BA$4:$BA$203,"Да")&gt;0,"ГОТОВО",IF(COUNTIFS('05_Офферы'!$A$4:$A$203,B4,'05_Офферы'!$B$4:$B$203,B5,'05_Офферы'!$AZ$4:$AZ$203,"Да")&gt;0,"Есть допущенные, но нет полного покрытия","Нет допущенных офферов")))</f>
        <v>Нет потребности</v>
      </c>
    </row>
    <row r="10" spans="1:8" ht="14.25" x14ac:dyDescent="0.35">
      <c r="A10" s="2" t="s">
        <v>214</v>
      </c>
      <c r="B10" s="2" t="s">
        <v>72</v>
      </c>
      <c r="C10" s="2" t="s">
        <v>99</v>
      </c>
      <c r="D10" s="2" t="s">
        <v>215</v>
      </c>
      <c r="F10" s="2" t="s">
        <v>214</v>
      </c>
      <c r="G10" s="2" t="s">
        <v>216</v>
      </c>
      <c r="H10" s="2" t="s">
        <v>217</v>
      </c>
    </row>
    <row r="11" spans="1:8" ht="14.25" x14ac:dyDescent="0.45">
      <c r="A11" s="7" t="s">
        <v>218</v>
      </c>
      <c r="B11" s="1" t="str">
        <f>IF($G11=0,"",INDEX('05_Офферы'!$C:$C,$G11))</f>
        <v/>
      </c>
      <c r="C11" s="41" t="str">
        <f>IF($G11=0,"",INDEX('05_Офферы'!$AX:$AX,$G11))</f>
        <v/>
      </c>
      <c r="D11" s="1" t="s">
        <v>219</v>
      </c>
      <c r="F11" s="1" t="s">
        <v>187</v>
      </c>
      <c r="G11" s="1">
        <f>IFERROR(SUMIFS('05_Офферы'!$BF$4:$BF$203,'05_Офферы'!$A$4:$A$203,$B$4,'05_Офферы'!$B$4:$B$203,$B$5,'05_Офферы'!$BB$4:$BB$203,"ДА"),0)</f>
        <v>0</v>
      </c>
      <c r="H11" s="1" t="str">
        <f>IF($G11=0,"",INDEX('05_Офферы'!$AF:$AF,$G11))</f>
        <v/>
      </c>
    </row>
    <row r="12" spans="1:8" ht="14.25" x14ac:dyDescent="0.45">
      <c r="A12" s="7" t="s">
        <v>220</v>
      </c>
      <c r="B12" s="1" t="str">
        <f>IF($G12=0,"",INDEX('05_Офферы'!$C:$C,$G12))</f>
        <v/>
      </c>
      <c r="C12" s="40" t="str">
        <f>IF($G12=0,"",INDEX('05_Офферы'!$N:$N,$G12))</f>
        <v/>
      </c>
      <c r="D12" s="1" t="s">
        <v>221</v>
      </c>
      <c r="F12" s="1" t="s">
        <v>188</v>
      </c>
      <c r="G12" s="1">
        <f>IFERROR(SUMIFS('05_Офферы'!$BF$4:$BF$203,'05_Офферы'!$A$4:$A$203,$B$4,'05_Офферы'!$B$4:$B$203,$B$5,'05_Офферы'!$BC$4:$BC$203,"ДА"),0)</f>
        <v>0</v>
      </c>
      <c r="H12" s="1" t="str">
        <f>IF($G12=0,"",INDEX('05_Офферы'!$AF:$AF,$G12))</f>
        <v/>
      </c>
    </row>
    <row r="13" spans="1:8" ht="14.25" x14ac:dyDescent="0.45">
      <c r="A13" s="7" t="s">
        <v>222</v>
      </c>
      <c r="B13" s="1" t="str">
        <f>IF($G13=0,"",INDEX('05_Офферы'!$C:$C,$G13))</f>
        <v/>
      </c>
      <c r="C13" s="41" t="str">
        <f>IF($G13=0,"",INDEX('05_Офферы'!$AY:$AY,$G13))</f>
        <v/>
      </c>
      <c r="D13" s="1" t="s">
        <v>223</v>
      </c>
      <c r="F13" s="1" t="s">
        <v>189</v>
      </c>
      <c r="G13" s="1">
        <f>IFERROR(SUMIFS('05_Офферы'!$BF$4:$BF$203,'05_Офферы'!$A$4:$A$203,$B$4,'05_Офферы'!$B$4:$B$203,$B$5,'05_Офферы'!$BD$4:$BD$203,"ДА"),0)</f>
        <v>0</v>
      </c>
      <c r="H13" s="1" t="str">
        <f>IF($G13=0,"",INDEX('05_Офферы'!$AF:$AF,$G13))</f>
        <v/>
      </c>
    </row>
    <row r="16" spans="1:8" ht="14.25" x14ac:dyDescent="0.45">
      <c r="A16" s="54" t="s">
        <v>224</v>
      </c>
      <c r="B16" s="54"/>
      <c r="C16" s="54"/>
      <c r="D16" s="54"/>
      <c r="E16" s="54"/>
      <c r="F16" s="54"/>
      <c r="G16" s="54"/>
      <c r="H16" s="54"/>
    </row>
    <row r="17" spans="1:8" x14ac:dyDescent="0.35">
      <c r="A17" s="55" t="s">
        <v>225</v>
      </c>
      <c r="B17" s="55"/>
      <c r="C17" s="55"/>
      <c r="D17" s="55"/>
      <c r="E17" s="55"/>
      <c r="F17" s="55"/>
      <c r="G17" s="55"/>
      <c r="H17" s="55"/>
    </row>
    <row r="18" spans="1:8" x14ac:dyDescent="0.35">
      <c r="A18" s="55"/>
      <c r="B18" s="55"/>
      <c r="C18" s="55"/>
      <c r="D18" s="55"/>
      <c r="E18" s="55"/>
      <c r="F18" s="55"/>
      <c r="G18" s="55"/>
      <c r="H18" s="55"/>
    </row>
    <row r="19" spans="1:8" x14ac:dyDescent="0.35">
      <c r="A19" s="55"/>
      <c r="B19" s="55"/>
      <c r="C19" s="55"/>
      <c r="D19" s="55"/>
      <c r="E19" s="55"/>
      <c r="F19" s="55"/>
      <c r="G19" s="55"/>
      <c r="H19" s="55"/>
    </row>
    <row r="20" spans="1:8" x14ac:dyDescent="0.35">
      <c r="A20" s="55"/>
      <c r="B20" s="55"/>
      <c r="C20" s="55"/>
      <c r="D20" s="55"/>
      <c r="E20" s="55"/>
      <c r="F20" s="55"/>
      <c r="G20" s="55"/>
      <c r="H20" s="55"/>
    </row>
    <row r="22" spans="1:8" ht="15" x14ac:dyDescent="0.4">
      <c r="A22" s="56" t="s">
        <v>226</v>
      </c>
      <c r="B22" s="56"/>
      <c r="C22" s="56"/>
      <c r="D22" s="56"/>
      <c r="E22" s="56"/>
      <c r="F22" s="56"/>
      <c r="G22" s="56"/>
      <c r="H22" s="56"/>
    </row>
    <row r="23" spans="1:8" x14ac:dyDescent="0.35">
      <c r="A23" s="57" t="s">
        <v>227</v>
      </c>
      <c r="B23" s="57"/>
      <c r="C23" s="57"/>
      <c r="D23" s="57"/>
      <c r="E23" s="57"/>
      <c r="F23" s="57"/>
      <c r="G23" s="57"/>
      <c r="H23" s="57"/>
    </row>
    <row r="24" spans="1:8" x14ac:dyDescent="0.35">
      <c r="A24" s="57"/>
      <c r="B24" s="57"/>
      <c r="C24" s="57"/>
      <c r="D24" s="57"/>
      <c r="E24" s="57"/>
      <c r="F24" s="57"/>
      <c r="G24" s="57"/>
      <c r="H24" s="57"/>
    </row>
    <row r="25" spans="1:8" x14ac:dyDescent="0.35">
      <c r="A25" s="57"/>
      <c r="B25" s="57"/>
      <c r="C25" s="57"/>
      <c r="D25" s="57"/>
      <c r="E25" s="57"/>
      <c r="F25" s="57"/>
      <c r="G25" s="57"/>
      <c r="H25" s="57"/>
    </row>
  </sheetData>
  <mergeCells count="5">
    <mergeCell ref="A1:H1"/>
    <mergeCell ref="A16:H16"/>
    <mergeCell ref="A17:H20"/>
    <mergeCell ref="A22:H22"/>
    <mergeCell ref="A23:H2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>
      <selection activeCell="C11" sqref="C11"/>
    </sheetView>
  </sheetViews>
  <sheetFormatPr defaultColWidth="8.6640625" defaultRowHeight="12.75" x14ac:dyDescent="0.35"/>
  <cols>
    <col min="1" max="1" width="7" style="1" customWidth="1"/>
    <col min="2" max="2" width="27" style="1" customWidth="1"/>
    <col min="3" max="3" width="72" style="1" customWidth="1"/>
    <col min="4" max="4" width="38" style="1" customWidth="1"/>
    <col min="5" max="5" width="40" style="1" customWidth="1"/>
  </cols>
  <sheetData>
    <row r="1" spans="1:5" ht="21" x14ac:dyDescent="0.35">
      <c r="A1" s="52" t="s">
        <v>228</v>
      </c>
      <c r="B1" s="52"/>
      <c r="C1" s="52"/>
      <c r="D1" s="52"/>
      <c r="E1" s="52"/>
    </row>
    <row r="2" spans="1:5" ht="14.25" x14ac:dyDescent="0.45">
      <c r="A2" s="3"/>
      <c r="B2" s="3"/>
      <c r="C2" s="3"/>
      <c r="D2" s="3"/>
      <c r="E2" s="3"/>
    </row>
    <row r="3" spans="1:5" ht="14.25" x14ac:dyDescent="0.35">
      <c r="A3" s="2" t="s">
        <v>229</v>
      </c>
      <c r="B3" s="2" t="s">
        <v>230</v>
      </c>
      <c r="C3" s="2" t="s">
        <v>231</v>
      </c>
      <c r="D3" s="2" t="s">
        <v>232</v>
      </c>
      <c r="E3" s="2" t="s">
        <v>233</v>
      </c>
    </row>
    <row r="4" spans="1:5" ht="28.5" x14ac:dyDescent="0.45">
      <c r="A4" s="7">
        <v>1</v>
      </c>
      <c r="B4" s="3" t="s">
        <v>234</v>
      </c>
      <c r="C4" s="3" t="s">
        <v>235</v>
      </c>
      <c r="D4" s="3" t="s">
        <v>236</v>
      </c>
      <c r="E4" s="3" t="s">
        <v>226</v>
      </c>
    </row>
    <row r="5" spans="1:5" ht="28.5" x14ac:dyDescent="0.45">
      <c r="A5" s="7">
        <v>2</v>
      </c>
      <c r="B5" s="3" t="s">
        <v>176</v>
      </c>
      <c r="C5" s="3" t="s">
        <v>237</v>
      </c>
      <c r="D5" s="3" t="s">
        <v>238</v>
      </c>
      <c r="E5" s="3" t="s">
        <v>239</v>
      </c>
    </row>
    <row r="6" spans="1:5" ht="28.5" x14ac:dyDescent="0.45">
      <c r="A6" s="7">
        <v>3</v>
      </c>
      <c r="B6" s="3" t="s">
        <v>101</v>
      </c>
      <c r="C6" s="3" t="s">
        <v>240</v>
      </c>
      <c r="D6" s="3" t="s">
        <v>241</v>
      </c>
      <c r="E6" s="3" t="s">
        <v>242</v>
      </c>
    </row>
    <row r="7" spans="1:5" ht="14.25" x14ac:dyDescent="0.45">
      <c r="A7" s="7">
        <v>4</v>
      </c>
      <c r="B7" s="3" t="s">
        <v>178</v>
      </c>
      <c r="C7" s="3" t="s">
        <v>243</v>
      </c>
      <c r="D7" s="3" t="s">
        <v>244</v>
      </c>
      <c r="E7" s="3"/>
    </row>
    <row r="8" spans="1:5" ht="28.5" x14ac:dyDescent="0.45">
      <c r="A8" s="7">
        <v>5</v>
      </c>
      <c r="B8" s="3" t="s">
        <v>172</v>
      </c>
      <c r="C8" s="3" t="s">
        <v>245</v>
      </c>
      <c r="D8" s="3" t="s">
        <v>246</v>
      </c>
      <c r="E8" s="3" t="s">
        <v>247</v>
      </c>
    </row>
    <row r="9" spans="1:5" ht="14.25" x14ac:dyDescent="0.45">
      <c r="A9" s="7">
        <v>6</v>
      </c>
      <c r="B9" s="3" t="s">
        <v>248</v>
      </c>
      <c r="C9" s="3" t="s">
        <v>249</v>
      </c>
      <c r="D9" s="3" t="s">
        <v>250</v>
      </c>
      <c r="E9" s="3"/>
    </row>
    <row r="10" spans="1:5" ht="14.25" x14ac:dyDescent="0.45">
      <c r="A10" s="7">
        <v>7</v>
      </c>
      <c r="B10" s="3" t="s">
        <v>251</v>
      </c>
      <c r="C10" s="3" t="s">
        <v>252</v>
      </c>
      <c r="D10" s="3" t="s">
        <v>253</v>
      </c>
      <c r="E10" s="3" t="s">
        <v>254</v>
      </c>
    </row>
    <row r="11" spans="1:5" ht="14.25" x14ac:dyDescent="0.45">
      <c r="A11" s="7">
        <v>8</v>
      </c>
      <c r="B11" s="3" t="s">
        <v>255</v>
      </c>
      <c r="C11" s="3" t="s">
        <v>256</v>
      </c>
      <c r="D11" s="3" t="s">
        <v>257</v>
      </c>
      <c r="E11" s="3"/>
    </row>
    <row r="12" spans="1:5" ht="14.25" x14ac:dyDescent="0.45">
      <c r="A12" s="7">
        <v>9</v>
      </c>
      <c r="B12" s="3" t="s">
        <v>258</v>
      </c>
      <c r="C12" s="3" t="s">
        <v>259</v>
      </c>
      <c r="D12" s="3" t="s">
        <v>260</v>
      </c>
      <c r="E12" s="3" t="s">
        <v>261</v>
      </c>
    </row>
    <row r="13" spans="1:5" ht="14.25" x14ac:dyDescent="0.45">
      <c r="A13" s="7">
        <v>10</v>
      </c>
      <c r="B13" s="3" t="s">
        <v>262</v>
      </c>
      <c r="C13" s="3" t="s">
        <v>263</v>
      </c>
      <c r="D13" s="3" t="s">
        <v>264</v>
      </c>
      <c r="E13" s="3"/>
    </row>
    <row r="14" spans="1:5" ht="14.25" x14ac:dyDescent="0.45">
      <c r="A14" s="7">
        <v>11</v>
      </c>
      <c r="B14" s="3" t="s">
        <v>187</v>
      </c>
      <c r="C14" s="3" t="s">
        <v>265</v>
      </c>
      <c r="D14" s="3" t="s">
        <v>214</v>
      </c>
      <c r="E14" s="3"/>
    </row>
    <row r="15" spans="1:5" ht="14.25" x14ac:dyDescent="0.45">
      <c r="A15" s="7">
        <v>12</v>
      </c>
      <c r="B15" s="3" t="s">
        <v>188</v>
      </c>
      <c r="C15" s="3" t="s">
        <v>266</v>
      </c>
      <c r="D15" s="3" t="s">
        <v>214</v>
      </c>
      <c r="E15" s="3"/>
    </row>
    <row r="16" spans="1:5" ht="28.5" x14ac:dyDescent="0.45">
      <c r="A16" s="7">
        <v>13</v>
      </c>
      <c r="B16" s="3" t="s">
        <v>189</v>
      </c>
      <c r="C16" s="3" t="s">
        <v>267</v>
      </c>
      <c r="D16" s="3" t="s">
        <v>214</v>
      </c>
      <c r="E16" s="3" t="s">
        <v>268</v>
      </c>
    </row>
    <row r="17" spans="1:5" ht="14.25" x14ac:dyDescent="0.45">
      <c r="A17" s="7">
        <v>14</v>
      </c>
      <c r="B17" s="3" t="s">
        <v>269</v>
      </c>
      <c r="C17" s="3" t="s">
        <v>270</v>
      </c>
      <c r="D17" s="3" t="s">
        <v>271</v>
      </c>
      <c r="E17" s="3"/>
    </row>
    <row r="18" spans="1:5" ht="38.25" x14ac:dyDescent="0.35">
      <c r="A18" s="42">
        <v>15</v>
      </c>
      <c r="B18" s="43" t="s">
        <v>142</v>
      </c>
      <c r="C18" s="43" t="s">
        <v>272</v>
      </c>
      <c r="D18" s="43" t="s">
        <v>273</v>
      </c>
      <c r="E18" s="43" t="s">
        <v>274</v>
      </c>
    </row>
    <row r="19" spans="1:5" ht="25.5" x14ac:dyDescent="0.35">
      <c r="A19" s="42">
        <v>16</v>
      </c>
      <c r="B19" s="43" t="s">
        <v>198</v>
      </c>
      <c r="C19" s="43" t="s">
        <v>275</v>
      </c>
      <c r="D19" s="43" t="s">
        <v>276</v>
      </c>
      <c r="E19" s="43" t="s">
        <v>277</v>
      </c>
    </row>
    <row r="20" spans="1:5" ht="51" x14ac:dyDescent="0.35">
      <c r="A20" s="42">
        <v>17</v>
      </c>
      <c r="B20" s="43" t="s">
        <v>200</v>
      </c>
      <c r="C20" s="43" t="s">
        <v>278</v>
      </c>
      <c r="D20" s="43" t="s">
        <v>279</v>
      </c>
      <c r="E20" s="43" t="s">
        <v>280</v>
      </c>
    </row>
    <row r="21" spans="1:5" x14ac:dyDescent="0.35">
      <c r="A21">
        <v>18</v>
      </c>
      <c r="B21" t="s">
        <v>329</v>
      </c>
      <c r="C21" t="s">
        <v>333</v>
      </c>
      <c r="D21" t="s">
        <v>269</v>
      </c>
      <c r="E21" t="s">
        <v>334</v>
      </c>
    </row>
    <row r="22" spans="1:5" x14ac:dyDescent="0.35">
      <c r="A22">
        <v>19</v>
      </c>
      <c r="B22" t="s">
        <v>335</v>
      </c>
      <c r="C22" t="s">
        <v>336</v>
      </c>
      <c r="D22" t="s">
        <v>269</v>
      </c>
      <c r="E22" t="s">
        <v>337</v>
      </c>
    </row>
    <row r="23" spans="1:5" x14ac:dyDescent="0.35">
      <c r="A23">
        <v>20</v>
      </c>
      <c r="B23" t="s">
        <v>338</v>
      </c>
      <c r="C23" t="s">
        <v>339</v>
      </c>
      <c r="D23" t="s">
        <v>340</v>
      </c>
      <c r="E23" t="s">
        <v>341</v>
      </c>
    </row>
    <row r="24" spans="1:5" x14ac:dyDescent="0.35">
      <c r="A24">
        <v>21</v>
      </c>
      <c r="B24" t="s">
        <v>342</v>
      </c>
      <c r="C24" t="s">
        <v>343</v>
      </c>
      <c r="D24" t="s">
        <v>269</v>
      </c>
      <c r="E24" t="s">
        <v>344</v>
      </c>
    </row>
    <row r="25" spans="1:5" x14ac:dyDescent="0.35">
      <c r="A25">
        <v>22</v>
      </c>
      <c r="B25" t="s">
        <v>345</v>
      </c>
      <c r="C25" t="s">
        <v>346</v>
      </c>
      <c r="D25" t="s">
        <v>347</v>
      </c>
      <c r="E25" t="s">
        <v>348</v>
      </c>
    </row>
    <row r="26" spans="1:5" x14ac:dyDescent="0.35">
      <c r="A26">
        <v>23</v>
      </c>
      <c r="B26" t="s">
        <v>349</v>
      </c>
      <c r="C26" t="s">
        <v>350</v>
      </c>
      <c r="D26" t="s">
        <v>351</v>
      </c>
      <c r="E26" t="s">
        <v>352</v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sqref="A1:XFD1048576"/>
    </sheetView>
  </sheetViews>
  <sheetFormatPr defaultColWidth="8.6640625" defaultRowHeight="12.75" x14ac:dyDescent="0.35"/>
  <cols>
    <col min="1" max="1" width="7" style="1" customWidth="1"/>
    <col min="2" max="2" width="28" style="1" customWidth="1"/>
    <col min="3" max="3" width="75" style="1" customWidth="1"/>
    <col min="4" max="4" width="13" style="1" customWidth="1"/>
  </cols>
  <sheetData>
    <row r="1" spans="1:4" ht="21" x14ac:dyDescent="0.35">
      <c r="A1" s="52" t="s">
        <v>281</v>
      </c>
      <c r="B1" s="52"/>
      <c r="C1" s="52"/>
      <c r="D1" s="52"/>
    </row>
    <row r="2" spans="1:4" ht="14.25" x14ac:dyDescent="0.45">
      <c r="A2" s="3"/>
      <c r="B2" s="3"/>
      <c r="C2" s="3"/>
      <c r="D2" s="3"/>
    </row>
    <row r="3" spans="1:4" ht="14.25" x14ac:dyDescent="0.35">
      <c r="A3" s="2" t="s">
        <v>229</v>
      </c>
      <c r="B3" s="2" t="s">
        <v>282</v>
      </c>
      <c r="C3" s="2" t="s">
        <v>283</v>
      </c>
      <c r="D3" s="2" t="s">
        <v>284</v>
      </c>
    </row>
    <row r="4" spans="1:4" ht="14.25" x14ac:dyDescent="0.45">
      <c r="A4" s="7">
        <v>1</v>
      </c>
      <c r="B4" s="3" t="s">
        <v>167</v>
      </c>
      <c r="C4" s="3" t="s">
        <v>285</v>
      </c>
      <c r="D4" s="3" t="s">
        <v>111</v>
      </c>
    </row>
    <row r="5" spans="1:4" ht="14.25" x14ac:dyDescent="0.45">
      <c r="A5" s="7">
        <v>2</v>
      </c>
      <c r="B5" s="3" t="s">
        <v>286</v>
      </c>
      <c r="C5" s="3" t="s">
        <v>287</v>
      </c>
      <c r="D5" s="3" t="s">
        <v>111</v>
      </c>
    </row>
    <row r="6" spans="1:4" ht="14.25" x14ac:dyDescent="0.45">
      <c r="A6" s="7">
        <v>3</v>
      </c>
      <c r="B6" s="3" t="s">
        <v>288</v>
      </c>
      <c r="C6" s="3" t="s">
        <v>289</v>
      </c>
      <c r="D6" s="3" t="s">
        <v>111</v>
      </c>
    </row>
    <row r="7" spans="1:4" ht="14.25" x14ac:dyDescent="0.45">
      <c r="A7" s="7">
        <v>4</v>
      </c>
      <c r="B7" s="3" t="s">
        <v>290</v>
      </c>
      <c r="C7" s="3" t="s">
        <v>291</v>
      </c>
      <c r="D7" s="3" t="s">
        <v>111</v>
      </c>
    </row>
    <row r="8" spans="1:4" ht="14.25" x14ac:dyDescent="0.45">
      <c r="A8" s="7">
        <v>5</v>
      </c>
      <c r="B8" s="3" t="s">
        <v>292</v>
      </c>
      <c r="C8" s="3" t="s">
        <v>293</v>
      </c>
      <c r="D8" s="3" t="s">
        <v>111</v>
      </c>
    </row>
    <row r="9" spans="1:4" ht="14.25" x14ac:dyDescent="0.45">
      <c r="A9" s="7">
        <v>6</v>
      </c>
      <c r="B9" s="3" t="s">
        <v>294</v>
      </c>
      <c r="C9" s="3" t="s">
        <v>295</v>
      </c>
      <c r="D9" s="3" t="s">
        <v>111</v>
      </c>
    </row>
    <row r="10" spans="1:4" ht="14.25" x14ac:dyDescent="0.45">
      <c r="A10" s="7">
        <v>7</v>
      </c>
      <c r="B10" s="3" t="s">
        <v>296</v>
      </c>
      <c r="C10" s="3" t="s">
        <v>297</v>
      </c>
      <c r="D10" s="3" t="s">
        <v>111</v>
      </c>
    </row>
    <row r="11" spans="1:4" ht="14.25" x14ac:dyDescent="0.45">
      <c r="A11" s="7">
        <v>8</v>
      </c>
      <c r="B11" s="3" t="s">
        <v>298</v>
      </c>
      <c r="C11" s="3" t="s">
        <v>299</v>
      </c>
      <c r="D11" s="3" t="s">
        <v>111</v>
      </c>
    </row>
    <row r="12" spans="1:4" ht="14.25" x14ac:dyDescent="0.45">
      <c r="A12" s="7">
        <v>9</v>
      </c>
      <c r="B12" s="3" t="s">
        <v>300</v>
      </c>
      <c r="C12" s="3" t="s">
        <v>301</v>
      </c>
      <c r="D12" s="3" t="s">
        <v>111</v>
      </c>
    </row>
    <row r="13" spans="1:4" x14ac:dyDescent="0.35">
      <c r="A13" s="1">
        <v>10</v>
      </c>
      <c r="B13" s="1" t="s">
        <v>302</v>
      </c>
      <c r="C13" s="1" t="s">
        <v>303</v>
      </c>
      <c r="D13" s="1" t="s">
        <v>111</v>
      </c>
    </row>
    <row r="14" spans="1:4" ht="25.5" x14ac:dyDescent="0.35">
      <c r="A14" s="42">
        <v>11</v>
      </c>
      <c r="B14" s="43" t="s">
        <v>142</v>
      </c>
      <c r="C14" s="43" t="s">
        <v>304</v>
      </c>
      <c r="D14" s="43" t="s">
        <v>111</v>
      </c>
    </row>
    <row r="15" spans="1:4" ht="25.5" x14ac:dyDescent="0.35">
      <c r="A15" s="42">
        <v>12</v>
      </c>
      <c r="B15" s="43" t="s">
        <v>198</v>
      </c>
      <c r="C15" s="43" t="s">
        <v>305</v>
      </c>
      <c r="D15" s="43" t="s">
        <v>111</v>
      </c>
    </row>
    <row r="16" spans="1:4" ht="25.5" x14ac:dyDescent="0.35">
      <c r="A16" s="42">
        <v>13</v>
      </c>
      <c r="B16" s="43" t="s">
        <v>306</v>
      </c>
      <c r="C16" s="43" t="s">
        <v>307</v>
      </c>
      <c r="D16" s="43" t="s">
        <v>111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showGridLines="0" workbookViewId="0"/>
  </sheetViews>
  <sheetFormatPr defaultColWidth="8.6640625" defaultRowHeight="12.75" x14ac:dyDescent="0.35"/>
  <cols>
    <col min="1" max="1" width="34" style="1" customWidth="1"/>
    <col min="2" max="2" width="16" style="1" customWidth="1"/>
    <col min="3" max="3" width="34" style="1" customWidth="1"/>
    <col min="4" max="4" width="22" style="1" customWidth="1"/>
    <col min="5" max="5" width="30" style="1" customWidth="1"/>
  </cols>
  <sheetData>
    <row r="1" spans="1:5" ht="15.75" customHeight="1" x14ac:dyDescent="0.5">
      <c r="A1" s="58" t="s">
        <v>308</v>
      </c>
      <c r="B1" s="58"/>
      <c r="C1" s="58"/>
      <c r="D1" s="58"/>
      <c r="E1" s="58"/>
    </row>
    <row r="2" spans="1:5" ht="27.75" customHeight="1" x14ac:dyDescent="0.35">
      <c r="A2" s="59" t="s">
        <v>309</v>
      </c>
      <c r="B2" s="59"/>
      <c r="C2" s="59"/>
      <c r="D2" s="59"/>
      <c r="E2" s="59"/>
    </row>
    <row r="4" spans="1:5" ht="24" customHeight="1" x14ac:dyDescent="0.35">
      <c r="A4" s="17" t="s">
        <v>13</v>
      </c>
      <c r="B4" s="17" t="s">
        <v>310</v>
      </c>
      <c r="C4" s="17" t="s">
        <v>311</v>
      </c>
      <c r="D4" s="17" t="s">
        <v>78</v>
      </c>
      <c r="E4" s="17" t="s">
        <v>12</v>
      </c>
    </row>
    <row r="5" spans="1:5" ht="15.75" customHeight="1" x14ac:dyDescent="0.35">
      <c r="A5" s="44" t="s">
        <v>312</v>
      </c>
      <c r="B5" s="44" t="s">
        <v>313</v>
      </c>
      <c r="C5" s="44" t="s">
        <v>314</v>
      </c>
      <c r="D5" s="44" t="s">
        <v>315</v>
      </c>
      <c r="E5" s="44"/>
    </row>
    <row r="6" spans="1:5" ht="15.75" customHeight="1" x14ac:dyDescent="0.35">
      <c r="A6" s="44" t="s">
        <v>316</v>
      </c>
      <c r="B6" s="44" t="s">
        <v>317</v>
      </c>
      <c r="C6" s="44" t="s">
        <v>318</v>
      </c>
      <c r="D6" s="44" t="s">
        <v>319</v>
      </c>
      <c r="E6" s="44"/>
    </row>
    <row r="7" spans="1:5" ht="15.75" customHeight="1" x14ac:dyDescent="0.35">
      <c r="A7" s="44" t="s">
        <v>320</v>
      </c>
      <c r="B7" s="44" t="s">
        <v>317</v>
      </c>
      <c r="C7" s="44" t="s">
        <v>321</v>
      </c>
      <c r="D7" s="44" t="s">
        <v>319</v>
      </c>
      <c r="E7" s="44"/>
    </row>
    <row r="8" spans="1:5" ht="15.75" customHeight="1" x14ac:dyDescent="0.35">
      <c r="A8" s="44" t="s">
        <v>322</v>
      </c>
      <c r="B8" s="44" t="s">
        <v>317</v>
      </c>
      <c r="C8" s="44" t="s">
        <v>323</v>
      </c>
      <c r="D8" s="44" t="s">
        <v>319</v>
      </c>
      <c r="E8" s="44" t="s">
        <v>324</v>
      </c>
    </row>
    <row r="9" spans="1:5" x14ac:dyDescent="0.35">
      <c r="A9" t="s">
        <v>353</v>
      </c>
      <c r="B9" t="s">
        <v>354</v>
      </c>
      <c r="C9" t="s">
        <v>355</v>
      </c>
      <c r="D9" t="s">
        <v>356</v>
      </c>
      <c r="E9" t="s">
        <v>357</v>
      </c>
    </row>
    <row r="10" spans="1:5" x14ac:dyDescent="0.35">
      <c r="A10" t="s">
        <v>358</v>
      </c>
      <c r="B10" t="s">
        <v>354</v>
      </c>
      <c r="C10" t="s">
        <v>359</v>
      </c>
      <c r="D10" t="s">
        <v>356</v>
      </c>
      <c r="E10" t="s">
        <v>360</v>
      </c>
    </row>
    <row r="11" spans="1:5" x14ac:dyDescent="0.35">
      <c r="A11" t="s">
        <v>361</v>
      </c>
      <c r="B11" t="s">
        <v>354</v>
      </c>
      <c r="C11" t="s">
        <v>362</v>
      </c>
      <c r="D11" t="s">
        <v>363</v>
      </c>
      <c r="E11" t="s">
        <v>364</v>
      </c>
    </row>
    <row r="12" spans="1:5" x14ac:dyDescent="0.35">
      <c r="A12" t="s">
        <v>365</v>
      </c>
      <c r="B12" t="s">
        <v>366</v>
      </c>
      <c r="C12" t="s">
        <v>367</v>
      </c>
      <c r="D12" t="s">
        <v>368</v>
      </c>
    </row>
    <row r="13" spans="1:5" x14ac:dyDescent="0.35">
      <c r="A13" t="s">
        <v>369</v>
      </c>
      <c r="B13" t="s">
        <v>354</v>
      </c>
      <c r="C13" t="s">
        <v>370</v>
      </c>
      <c r="D13" t="s">
        <v>371</v>
      </c>
    </row>
  </sheetData>
  <mergeCells count="2">
    <mergeCell ref="A1:E1"/>
    <mergeCell ref="A2:E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/>
  </sheetViews>
  <sheetFormatPr defaultRowHeight="12.75" x14ac:dyDescent="0.35"/>
  <cols>
    <col min="1" max="1" width="36" customWidth="1"/>
    <col min="2" max="2" width="12" customWidth="1"/>
    <col min="3" max="3" width="28" customWidth="1"/>
    <col min="4" max="4" width="30" customWidth="1"/>
    <col min="5" max="5" width="52" customWidth="1"/>
  </cols>
  <sheetData>
    <row r="1" spans="1:5" ht="13.15" x14ac:dyDescent="0.4">
      <c r="A1" s="49" t="s">
        <v>372</v>
      </c>
      <c r="B1" s="49" t="s">
        <v>373</v>
      </c>
      <c r="C1" s="49" t="s">
        <v>374</v>
      </c>
      <c r="D1" s="49" t="s">
        <v>375</v>
      </c>
      <c r="E1" s="49" t="s">
        <v>12</v>
      </c>
    </row>
    <row r="2" spans="1:5" x14ac:dyDescent="0.35">
      <c r="A2" s="50" t="s">
        <v>331</v>
      </c>
      <c r="B2" s="50" t="s">
        <v>376</v>
      </c>
      <c r="C2" s="50" t="s">
        <v>377</v>
      </c>
      <c r="D2" s="50" t="s">
        <v>378</v>
      </c>
      <c r="E2" s="50" t="s">
        <v>379</v>
      </c>
    </row>
    <row r="3" spans="1:5" x14ac:dyDescent="0.35">
      <c r="A3" s="50" t="s">
        <v>380</v>
      </c>
      <c r="B3" s="50" t="s">
        <v>381</v>
      </c>
      <c r="C3" s="50" t="s">
        <v>382</v>
      </c>
      <c r="D3" s="50" t="s">
        <v>12</v>
      </c>
      <c r="E3" s="50" t="s">
        <v>383</v>
      </c>
    </row>
    <row r="4" spans="1:5" x14ac:dyDescent="0.35">
      <c r="A4" s="50" t="s">
        <v>212</v>
      </c>
      <c r="B4" s="50" t="s">
        <v>384</v>
      </c>
      <c r="C4" s="50" t="s">
        <v>167</v>
      </c>
      <c r="D4" s="50" t="s">
        <v>385</v>
      </c>
      <c r="E4" s="50" t="s">
        <v>386</v>
      </c>
    </row>
    <row r="5" spans="1:5" x14ac:dyDescent="0.35">
      <c r="A5" s="50" t="s">
        <v>387</v>
      </c>
      <c r="B5" s="50" t="s">
        <v>388</v>
      </c>
      <c r="C5" s="50" t="s">
        <v>168</v>
      </c>
      <c r="D5" s="50" t="s">
        <v>385</v>
      </c>
      <c r="E5" s="50" t="s">
        <v>389</v>
      </c>
    </row>
    <row r="6" spans="1:5" x14ac:dyDescent="0.35">
      <c r="A6" s="50" t="s">
        <v>198</v>
      </c>
      <c r="B6" s="50" t="s">
        <v>390</v>
      </c>
      <c r="C6" s="50" t="s">
        <v>198</v>
      </c>
      <c r="D6" s="50" t="s">
        <v>391</v>
      </c>
      <c r="E6" s="50" t="s">
        <v>392</v>
      </c>
    </row>
    <row r="7" spans="1:5" x14ac:dyDescent="0.35">
      <c r="A7" s="50" t="s">
        <v>393</v>
      </c>
      <c r="B7" s="50" t="s">
        <v>394</v>
      </c>
      <c r="C7" s="50" t="s">
        <v>393</v>
      </c>
      <c r="D7" s="50" t="s">
        <v>395</v>
      </c>
      <c r="E7" s="50"/>
    </row>
    <row r="8" spans="1:5" x14ac:dyDescent="0.35">
      <c r="A8" s="50" t="s">
        <v>396</v>
      </c>
      <c r="B8" s="50" t="s">
        <v>397</v>
      </c>
      <c r="C8" s="50" t="s">
        <v>396</v>
      </c>
      <c r="D8" s="50" t="s">
        <v>398</v>
      </c>
      <c r="E8" s="50"/>
    </row>
    <row r="9" spans="1:5" x14ac:dyDescent="0.35">
      <c r="A9" s="50" t="s">
        <v>399</v>
      </c>
      <c r="B9" s="50" t="s">
        <v>400</v>
      </c>
      <c r="C9" s="50" t="s">
        <v>139</v>
      </c>
      <c r="D9" s="50" t="s">
        <v>401</v>
      </c>
      <c r="E9" s="50"/>
    </row>
    <row r="10" spans="1:5" x14ac:dyDescent="0.35">
      <c r="A10" s="50" t="s">
        <v>402</v>
      </c>
      <c r="B10" s="50" t="s">
        <v>403</v>
      </c>
      <c r="C10" s="50" t="s">
        <v>404</v>
      </c>
      <c r="D10" s="50" t="s">
        <v>405</v>
      </c>
      <c r="E10" s="50"/>
    </row>
    <row r="11" spans="1:5" x14ac:dyDescent="0.35">
      <c r="A11" s="50" t="s">
        <v>406</v>
      </c>
      <c r="B11" s="50" t="s">
        <v>407</v>
      </c>
      <c r="C11" s="50" t="s">
        <v>408</v>
      </c>
      <c r="D11" s="50" t="s">
        <v>409</v>
      </c>
      <c r="E11" s="50" t="s">
        <v>410</v>
      </c>
    </row>
    <row r="12" spans="1:5" x14ac:dyDescent="0.35">
      <c r="A12" s="50" t="s">
        <v>411</v>
      </c>
      <c r="B12" s="50" t="s">
        <v>412</v>
      </c>
      <c r="C12" s="50" t="s">
        <v>413</v>
      </c>
      <c r="D12" s="50" t="s">
        <v>405</v>
      </c>
      <c r="E12" s="50" t="s">
        <v>414</v>
      </c>
    </row>
    <row r="13" spans="1:5" x14ac:dyDescent="0.35">
      <c r="A13" s="50" t="s">
        <v>415</v>
      </c>
      <c r="B13" s="50" t="s">
        <v>416</v>
      </c>
      <c r="C13" s="50" t="s">
        <v>194</v>
      </c>
      <c r="D13" s="50" t="s">
        <v>417</v>
      </c>
      <c r="E13" s="50"/>
    </row>
    <row r="14" spans="1:5" x14ac:dyDescent="0.35">
      <c r="A14" s="50" t="s">
        <v>195</v>
      </c>
      <c r="B14" s="50" t="s">
        <v>418</v>
      </c>
      <c r="C14" s="50" t="s">
        <v>195</v>
      </c>
      <c r="D14" s="50" t="s">
        <v>419</v>
      </c>
      <c r="E14" s="50"/>
    </row>
    <row r="15" spans="1:5" x14ac:dyDescent="0.35">
      <c r="A15" s="50" t="s">
        <v>420</v>
      </c>
      <c r="B15" s="50" t="s">
        <v>421</v>
      </c>
      <c r="C15" s="50" t="s">
        <v>330</v>
      </c>
      <c r="D15" s="50" t="s">
        <v>422</v>
      </c>
      <c r="E15" s="50"/>
    </row>
    <row r="16" spans="1:5" x14ac:dyDescent="0.35">
      <c r="A16" s="50" t="s">
        <v>423</v>
      </c>
      <c r="B16" s="50" t="s">
        <v>424</v>
      </c>
      <c r="C16" s="50" t="s">
        <v>425</v>
      </c>
      <c r="D16" s="50" t="s">
        <v>426</v>
      </c>
      <c r="E16" s="50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01_Поставщики</vt:lpstr>
      <vt:lpstr>02_Схемы оплаты</vt:lpstr>
      <vt:lpstr>03_Настройки</vt:lpstr>
      <vt:lpstr>04_Потребность</vt:lpstr>
      <vt:lpstr>05_Офферы</vt:lpstr>
      <vt:lpstr>00_Панель</vt:lpstr>
      <vt:lpstr>06_Методика</vt:lpstr>
      <vt:lpstr>07_Проверка</vt:lpstr>
      <vt:lpstr>08_Источники</vt:lpstr>
      <vt:lpstr>09_Маппинг формы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Морозов Дмитрий</cp:lastModifiedBy>
  <dcterms:modified xsi:type="dcterms:W3CDTF">2026-08-20T05:48:47Z</dcterms:modified>
</cp:coreProperties>
</file>