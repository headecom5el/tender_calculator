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mitriy.Morozov\Desktop\"/>
    </mc:Choice>
  </mc:AlternateContent>
  <bookViews>
    <workbookView xWindow="0" yWindow="0" windowWidth="21600" windowHeight="9165"/>
  </bookViews>
  <sheets>
    <sheet name="сравнение предложений Смартфоны" sheetId="6" r:id="rId1"/>
    <sheet name="сравнеиие цен АКС" sheetId="4" r:id="rId2"/>
  </sheets>
  <definedNames>
    <definedName name="_xlnm._FilterDatabase" localSheetId="1" hidden="1">'сравнеиие цен АКС'!$A$1:$B$1</definedName>
    <definedName name="_xlnm._FilterDatabase" localSheetId="0" hidden="1">'сравнение предложений Смартфоны'!$A$12:$AZ$58</definedName>
  </definedNames>
  <calcPr calcId="162913" refMode="R1C1"/>
</workbook>
</file>

<file path=xl/calcChain.xml><?xml version="1.0" encoding="utf-8"?>
<calcChain xmlns="http://schemas.openxmlformats.org/spreadsheetml/2006/main">
  <c r="AQ52" i="6" l="1"/>
  <c r="AO52" i="6"/>
  <c r="AN52" i="6"/>
  <c r="AM52" i="6"/>
  <c r="AL52" i="6"/>
  <c r="B52" i="6"/>
  <c r="AK51" i="6"/>
  <c r="AH51" i="6"/>
  <c r="Z51" i="6"/>
  <c r="X51" i="6"/>
  <c r="V51" i="6"/>
  <c r="AJ51" i="6" s="1"/>
  <c r="T51" i="6"/>
  <c r="AI51" i="6" s="1"/>
  <c r="Q51" i="6"/>
  <c r="K51" i="6"/>
  <c r="AF51" i="6" s="1"/>
  <c r="AK50" i="6"/>
  <c r="AH50" i="6"/>
  <c r="AF50" i="6"/>
  <c r="Z50" i="6"/>
  <c r="X50" i="6"/>
  <c r="V50" i="6"/>
  <c r="AJ50" i="6" s="1"/>
  <c r="T50" i="6"/>
  <c r="AI50" i="6" s="1"/>
  <c r="Q50" i="6"/>
  <c r="K50" i="6"/>
  <c r="AK49" i="6"/>
  <c r="AJ49" i="6"/>
  <c r="AI49" i="6"/>
  <c r="AF49" i="6"/>
  <c r="Z49" i="6"/>
  <c r="X49" i="6"/>
  <c r="V49" i="6"/>
  <c r="T49" i="6"/>
  <c r="Q49" i="6"/>
  <c r="AH49" i="6" s="1"/>
  <c r="K49" i="6"/>
  <c r="E49" i="6"/>
  <c r="AD49" i="6" s="1"/>
  <c r="AI48" i="6"/>
  <c r="AH48" i="6"/>
  <c r="X48" i="6"/>
  <c r="AK48" i="6" s="1"/>
  <c r="V48" i="6"/>
  <c r="AJ48" i="6" s="1"/>
  <c r="T48" i="6"/>
  <c r="Q48" i="6"/>
  <c r="K48" i="6"/>
  <c r="AF48" i="6" s="1"/>
  <c r="AK47" i="6"/>
  <c r="AJ47" i="6"/>
  <c r="AF47" i="6"/>
  <c r="X47" i="6"/>
  <c r="V47" i="6"/>
  <c r="T47" i="6"/>
  <c r="AI47" i="6" s="1"/>
  <c r="Q47" i="6"/>
  <c r="AH47" i="6" s="1"/>
  <c r="K47" i="6"/>
  <c r="AI46" i="6"/>
  <c r="AH46" i="6"/>
  <c r="X46" i="6"/>
  <c r="AK46" i="6" s="1"/>
  <c r="V46" i="6"/>
  <c r="AJ46" i="6" s="1"/>
  <c r="T46" i="6"/>
  <c r="Q46" i="6"/>
  <c r="K46" i="6"/>
  <c r="AF46" i="6" s="1"/>
  <c r="AK45" i="6"/>
  <c r="AJ45" i="6"/>
  <c r="AF45" i="6"/>
  <c r="X45" i="6"/>
  <c r="V45" i="6"/>
  <c r="T45" i="6"/>
  <c r="AI45" i="6" s="1"/>
  <c r="Q45" i="6"/>
  <c r="AH45" i="6" s="1"/>
  <c r="K45" i="6"/>
  <c r="E45" i="6"/>
  <c r="AD45" i="6" s="1"/>
  <c r="AI44" i="6"/>
  <c r="AH44" i="6"/>
  <c r="X44" i="6"/>
  <c r="AK44" i="6" s="1"/>
  <c r="V44" i="6"/>
  <c r="AJ44" i="6" s="1"/>
  <c r="T44" i="6"/>
  <c r="Q44" i="6"/>
  <c r="K44" i="6"/>
  <c r="AF44" i="6" s="1"/>
  <c r="AK43" i="6"/>
  <c r="AH43" i="6"/>
  <c r="AF43" i="6"/>
  <c r="Z43" i="6"/>
  <c r="X43" i="6"/>
  <c r="V43" i="6"/>
  <c r="AJ43" i="6" s="1"/>
  <c r="T43" i="6"/>
  <c r="AI43" i="6" s="1"/>
  <c r="Q43" i="6"/>
  <c r="K43" i="6"/>
  <c r="AK42" i="6"/>
  <c r="AJ42" i="6"/>
  <c r="AI42" i="6"/>
  <c r="AF42" i="6"/>
  <c r="Z42" i="6"/>
  <c r="X42" i="6"/>
  <c r="V42" i="6"/>
  <c r="T42" i="6"/>
  <c r="Q42" i="6"/>
  <c r="AH42" i="6" s="1"/>
  <c r="K42" i="6"/>
  <c r="E42" i="6"/>
  <c r="AD42" i="6" s="1"/>
  <c r="AI41" i="6"/>
  <c r="AF41" i="6"/>
  <c r="Z41" i="6"/>
  <c r="X41" i="6"/>
  <c r="AK41" i="6" s="1"/>
  <c r="V41" i="6"/>
  <c r="AJ41" i="6" s="1"/>
  <c r="T41" i="6"/>
  <c r="Q41" i="6"/>
  <c r="AH41" i="6" s="1"/>
  <c r="N41" i="6"/>
  <c r="AG41" i="6" s="1"/>
  <c r="K41" i="6"/>
  <c r="AI40" i="6"/>
  <c r="AH40" i="6"/>
  <c r="Z40" i="6"/>
  <c r="X40" i="6"/>
  <c r="AK40" i="6" s="1"/>
  <c r="V40" i="6"/>
  <c r="AJ40" i="6" s="1"/>
  <c r="T40" i="6"/>
  <c r="Q40" i="6"/>
  <c r="K40" i="6"/>
  <c r="AF40" i="6" s="1"/>
  <c r="AK39" i="6"/>
  <c r="AJ39" i="6"/>
  <c r="AF39" i="6"/>
  <c r="X39" i="6"/>
  <c r="V39" i="6"/>
  <c r="T39" i="6"/>
  <c r="AI39" i="6" s="1"/>
  <c r="Q39" i="6"/>
  <c r="AH39" i="6" s="1"/>
  <c r="K39" i="6"/>
  <c r="E39" i="6"/>
  <c r="AD39" i="6" s="1"/>
  <c r="AI38" i="6"/>
  <c r="AH38" i="6"/>
  <c r="X38" i="6"/>
  <c r="AK38" i="6" s="1"/>
  <c r="V38" i="6"/>
  <c r="AJ38" i="6" s="1"/>
  <c r="T38" i="6"/>
  <c r="Q38" i="6"/>
  <c r="K38" i="6"/>
  <c r="AF38" i="6" s="1"/>
  <c r="AK37" i="6"/>
  <c r="AJ37" i="6"/>
  <c r="AF37" i="6"/>
  <c r="X37" i="6"/>
  <c r="V37" i="6"/>
  <c r="T37" i="6"/>
  <c r="AI37" i="6" s="1"/>
  <c r="Q37" i="6"/>
  <c r="AH37" i="6" s="1"/>
  <c r="K37" i="6"/>
  <c r="AI36" i="6"/>
  <c r="AH36" i="6"/>
  <c r="X36" i="6"/>
  <c r="AK36" i="6" s="1"/>
  <c r="V36" i="6"/>
  <c r="AJ36" i="6" s="1"/>
  <c r="T36" i="6"/>
  <c r="Q36" i="6"/>
  <c r="K36" i="6"/>
  <c r="AF36" i="6" s="1"/>
  <c r="AK35" i="6"/>
  <c r="AJ35" i="6"/>
  <c r="AF35" i="6"/>
  <c r="X35" i="6"/>
  <c r="V35" i="6"/>
  <c r="T35" i="6"/>
  <c r="AI35" i="6" s="1"/>
  <c r="Q35" i="6"/>
  <c r="AH35" i="6" s="1"/>
  <c r="K35" i="6"/>
  <c r="E35" i="6"/>
  <c r="AI34" i="6"/>
  <c r="AH34" i="6"/>
  <c r="AF34" i="6"/>
  <c r="Z34" i="6"/>
  <c r="X34" i="6"/>
  <c r="AK34" i="6" s="1"/>
  <c r="V34" i="6"/>
  <c r="AJ34" i="6" s="1"/>
  <c r="T34" i="6"/>
  <c r="Q34" i="6"/>
  <c r="N34" i="6"/>
  <c r="AG34" i="6" s="1"/>
  <c r="K34" i="6"/>
  <c r="AI33" i="6"/>
  <c r="AH33" i="6"/>
  <c r="Z33" i="6"/>
  <c r="X33" i="6"/>
  <c r="AK33" i="6" s="1"/>
  <c r="V33" i="6"/>
  <c r="AJ33" i="6" s="1"/>
  <c r="T33" i="6"/>
  <c r="Q33" i="6"/>
  <c r="K33" i="6"/>
  <c r="AF33" i="6" s="1"/>
  <c r="AK32" i="6"/>
  <c r="AJ32" i="6"/>
  <c r="AF32" i="6"/>
  <c r="Z32" i="6"/>
  <c r="X32" i="6"/>
  <c r="V32" i="6"/>
  <c r="T32" i="6"/>
  <c r="AI32" i="6" s="1"/>
  <c r="Q32" i="6"/>
  <c r="AH32" i="6" s="1"/>
  <c r="K32" i="6"/>
  <c r="H32" i="6"/>
  <c r="AE32" i="6" s="1"/>
  <c r="AJ31" i="6"/>
  <c r="AI31" i="6"/>
  <c r="AF31" i="6"/>
  <c r="Z31" i="6"/>
  <c r="X31" i="6"/>
  <c r="AK31" i="6" s="1"/>
  <c r="V31" i="6"/>
  <c r="T31" i="6"/>
  <c r="Q31" i="6"/>
  <c r="AH31" i="6" s="1"/>
  <c r="K31" i="6"/>
  <c r="AI30" i="6"/>
  <c r="AH30" i="6"/>
  <c r="X30" i="6"/>
  <c r="AK30" i="6" s="1"/>
  <c r="V30" i="6"/>
  <c r="AJ30" i="6" s="1"/>
  <c r="T30" i="6"/>
  <c r="Q30" i="6"/>
  <c r="K30" i="6"/>
  <c r="AF30" i="6" s="1"/>
  <c r="AK29" i="6"/>
  <c r="AJ29" i="6"/>
  <c r="AF29" i="6"/>
  <c r="X29" i="6"/>
  <c r="V29" i="6"/>
  <c r="T29" i="6"/>
  <c r="AI29" i="6" s="1"/>
  <c r="Q29" i="6"/>
  <c r="AH29" i="6" s="1"/>
  <c r="K29" i="6"/>
  <c r="H29" i="6"/>
  <c r="AE29" i="6" s="1"/>
  <c r="E29" i="6"/>
  <c r="AD29" i="6" s="1"/>
  <c r="AI28" i="6"/>
  <c r="AH28" i="6"/>
  <c r="X28" i="6"/>
  <c r="AK28" i="6" s="1"/>
  <c r="V28" i="6"/>
  <c r="AJ28" i="6" s="1"/>
  <c r="T28" i="6"/>
  <c r="Q28" i="6"/>
  <c r="K28" i="6"/>
  <c r="AF28" i="6" s="1"/>
  <c r="AK27" i="6"/>
  <c r="AJ27" i="6"/>
  <c r="AF27" i="6"/>
  <c r="X27" i="6"/>
  <c r="V27" i="6"/>
  <c r="T27" i="6"/>
  <c r="AI27" i="6" s="1"/>
  <c r="Q27" i="6"/>
  <c r="AH27" i="6" s="1"/>
  <c r="K27" i="6"/>
  <c r="H27" i="6"/>
  <c r="AE27" i="6" s="1"/>
  <c r="AI26" i="6"/>
  <c r="AH26" i="6"/>
  <c r="X26" i="6"/>
  <c r="AK26" i="6" s="1"/>
  <c r="V26" i="6"/>
  <c r="AJ26" i="6" s="1"/>
  <c r="T26" i="6"/>
  <c r="Q26" i="6"/>
  <c r="K26" i="6"/>
  <c r="AF26" i="6" s="1"/>
  <c r="AK25" i="6"/>
  <c r="AJ25" i="6"/>
  <c r="AF25" i="6"/>
  <c r="Z25" i="6"/>
  <c r="X25" i="6"/>
  <c r="V25" i="6"/>
  <c r="T25" i="6"/>
  <c r="AI25" i="6" s="1"/>
  <c r="Q25" i="6"/>
  <c r="AH25" i="6" s="1"/>
  <c r="K25" i="6"/>
  <c r="H25" i="6"/>
  <c r="AE25" i="6" s="1"/>
  <c r="AJ24" i="6"/>
  <c r="AI24" i="6"/>
  <c r="AF24" i="6"/>
  <c r="AE24" i="6"/>
  <c r="Z24" i="6"/>
  <c r="X24" i="6"/>
  <c r="AK24" i="6" s="1"/>
  <c r="V24" i="6"/>
  <c r="T24" i="6"/>
  <c r="Q24" i="6"/>
  <c r="AH24" i="6" s="1"/>
  <c r="K24" i="6"/>
  <c r="H24" i="6"/>
  <c r="E24" i="6"/>
  <c r="AB24" i="6" s="1"/>
  <c r="AI23" i="6"/>
  <c r="AH23" i="6"/>
  <c r="Z23" i="6"/>
  <c r="X23" i="6"/>
  <c r="AK23" i="6" s="1"/>
  <c r="V23" i="6"/>
  <c r="AJ23" i="6" s="1"/>
  <c r="T23" i="6"/>
  <c r="Q23" i="6"/>
  <c r="N23" i="6"/>
  <c r="AG23" i="6" s="1"/>
  <c r="K23" i="6"/>
  <c r="AF23" i="6" s="1"/>
  <c r="AK22" i="6"/>
  <c r="AH22" i="6"/>
  <c r="Z22" i="6"/>
  <c r="X22" i="6"/>
  <c r="V22" i="6"/>
  <c r="AJ22" i="6" s="1"/>
  <c r="T22" i="6"/>
  <c r="AI22" i="6" s="1"/>
  <c r="Q22" i="6"/>
  <c r="K22" i="6"/>
  <c r="AF22" i="6" s="1"/>
  <c r="AK21" i="6"/>
  <c r="AJ21" i="6"/>
  <c r="AF21" i="6"/>
  <c r="X21" i="6"/>
  <c r="V21" i="6"/>
  <c r="T21" i="6"/>
  <c r="AI21" i="6" s="1"/>
  <c r="Q21" i="6"/>
  <c r="AH21" i="6" s="1"/>
  <c r="K21" i="6"/>
  <c r="H21" i="6"/>
  <c r="AE21" i="6" s="1"/>
  <c r="E21" i="6"/>
  <c r="AD21" i="6" s="1"/>
  <c r="AI20" i="6"/>
  <c r="AH20" i="6"/>
  <c r="AE20" i="6"/>
  <c r="X20" i="6"/>
  <c r="AK20" i="6" s="1"/>
  <c r="V20" i="6"/>
  <c r="AJ20" i="6" s="1"/>
  <c r="T20" i="6"/>
  <c r="Q20" i="6"/>
  <c r="K20" i="6"/>
  <c r="AF20" i="6" s="1"/>
  <c r="H20" i="6"/>
  <c r="AK19" i="6"/>
  <c r="AJ19" i="6"/>
  <c r="AF19" i="6"/>
  <c r="X19" i="6"/>
  <c r="V19" i="6"/>
  <c r="T19" i="6"/>
  <c r="AI19" i="6" s="1"/>
  <c r="Q19" i="6"/>
  <c r="AH19" i="6" s="1"/>
  <c r="K19" i="6"/>
  <c r="H19" i="6"/>
  <c r="AE19" i="6" s="1"/>
  <c r="E19" i="6"/>
  <c r="AD19" i="6" s="1"/>
  <c r="AI18" i="6"/>
  <c r="AH18" i="6"/>
  <c r="X18" i="6"/>
  <c r="AK18" i="6" s="1"/>
  <c r="V18" i="6"/>
  <c r="AJ18" i="6" s="1"/>
  <c r="T18" i="6"/>
  <c r="Q18" i="6"/>
  <c r="K18" i="6"/>
  <c r="AF18" i="6" s="1"/>
  <c r="AK17" i="6"/>
  <c r="AJ17" i="6"/>
  <c r="AF17" i="6"/>
  <c r="X17" i="6"/>
  <c r="V17" i="6"/>
  <c r="T17" i="6"/>
  <c r="AI17" i="6" s="1"/>
  <c r="Q17" i="6"/>
  <c r="AH17" i="6" s="1"/>
  <c r="K17" i="6"/>
  <c r="H17" i="6"/>
  <c r="AE17" i="6" s="1"/>
  <c r="E17" i="6"/>
  <c r="AD17" i="6" s="1"/>
  <c r="AI16" i="6"/>
  <c r="AH16" i="6"/>
  <c r="AD16" i="6"/>
  <c r="Z16" i="6"/>
  <c r="X16" i="6"/>
  <c r="AK16" i="6" s="1"/>
  <c r="V16" i="6"/>
  <c r="AJ16" i="6" s="1"/>
  <c r="T16" i="6"/>
  <c r="Q16" i="6"/>
  <c r="N16" i="6"/>
  <c r="AG16" i="6" s="1"/>
  <c r="K16" i="6"/>
  <c r="AF16" i="6" s="1"/>
  <c r="E16" i="6"/>
  <c r="AB16" i="6" s="1"/>
  <c r="AK15" i="6"/>
  <c r="AH15" i="6"/>
  <c r="AG15" i="6"/>
  <c r="Z15" i="6"/>
  <c r="X15" i="6"/>
  <c r="V15" i="6"/>
  <c r="AJ15" i="6" s="1"/>
  <c r="T15" i="6"/>
  <c r="AI15" i="6" s="1"/>
  <c r="Q15" i="6"/>
  <c r="N15" i="6"/>
  <c r="K15" i="6"/>
  <c r="AF15" i="6" s="1"/>
  <c r="AK14" i="6"/>
  <c r="AJ14" i="6"/>
  <c r="AF14" i="6"/>
  <c r="Z14" i="6"/>
  <c r="X14" i="6"/>
  <c r="V14" i="6"/>
  <c r="T14" i="6"/>
  <c r="AI14" i="6" s="1"/>
  <c r="Q14" i="6"/>
  <c r="AH14" i="6" s="1"/>
  <c r="K14" i="6"/>
  <c r="H14" i="6"/>
  <c r="E14" i="6"/>
  <c r="AD14" i="6" s="1"/>
  <c r="AJ13" i="6"/>
  <c r="AI13" i="6"/>
  <c r="AF13" i="6"/>
  <c r="AE13" i="6"/>
  <c r="Z13" i="6"/>
  <c r="X13" i="6"/>
  <c r="AK13" i="6" s="1"/>
  <c r="V13" i="6"/>
  <c r="T13" i="6"/>
  <c r="Q13" i="6"/>
  <c r="AH13" i="6" s="1"/>
  <c r="N13" i="6"/>
  <c r="AG13" i="6" s="1"/>
  <c r="K13" i="6"/>
  <c r="H13" i="6"/>
  <c r="E13" i="6"/>
  <c r="AD13" i="6" s="1"/>
  <c r="B9" i="6"/>
  <c r="H41" i="6" s="1"/>
  <c r="AE41" i="6" s="1"/>
  <c r="P8" i="6"/>
  <c r="B3" i="6"/>
  <c r="E51" i="6" s="1"/>
  <c r="AD51" i="6" l="1"/>
  <c r="AA51" i="6"/>
  <c r="AA35" i="6"/>
  <c r="N20" i="6"/>
  <c r="AG20" i="6" s="1"/>
  <c r="N30" i="6"/>
  <c r="AG30" i="6" s="1"/>
  <c r="AE14" i="6"/>
  <c r="H15" i="6"/>
  <c r="AE15" i="6" s="1"/>
  <c r="N17" i="6"/>
  <c r="H18" i="6"/>
  <c r="AE18" i="6" s="1"/>
  <c r="N21" i="6"/>
  <c r="AG21" i="6" s="1"/>
  <c r="H22" i="6"/>
  <c r="AE22" i="6" s="1"/>
  <c r="N24" i="6"/>
  <c r="AG24" i="6" s="1"/>
  <c r="AD24" i="6"/>
  <c r="E25" i="6"/>
  <c r="N27" i="6"/>
  <c r="AG27" i="6" s="1"/>
  <c r="H28" i="6"/>
  <c r="AE28" i="6" s="1"/>
  <c r="N31" i="6"/>
  <c r="AG31" i="6" s="1"/>
  <c r="E32" i="6"/>
  <c r="N37" i="6"/>
  <c r="AG37" i="6" s="1"/>
  <c r="H38" i="6"/>
  <c r="AE38" i="6" s="1"/>
  <c r="H44" i="6"/>
  <c r="AE44" i="6" s="1"/>
  <c r="N47" i="6"/>
  <c r="AG47" i="6" s="1"/>
  <c r="H48" i="6"/>
  <c r="AE48" i="6" s="1"/>
  <c r="H51" i="6"/>
  <c r="AE51" i="6" s="1"/>
  <c r="AA19" i="6"/>
  <c r="AA39" i="6"/>
  <c r="AA13" i="6"/>
  <c r="AB19" i="6"/>
  <c r="N22" i="6"/>
  <c r="AG22" i="6" s="1"/>
  <c r="E23" i="6"/>
  <c r="H35" i="6"/>
  <c r="AE35" i="6" s="1"/>
  <c r="N38" i="6"/>
  <c r="AG38" i="6" s="1"/>
  <c r="H39" i="6"/>
  <c r="AE39" i="6" s="1"/>
  <c r="AB39" i="6"/>
  <c r="H42" i="6"/>
  <c r="AE42" i="6" s="1"/>
  <c r="N44" i="6"/>
  <c r="AG44" i="6" s="1"/>
  <c r="H45" i="6"/>
  <c r="AE45" i="6" s="1"/>
  <c r="N48" i="6"/>
  <c r="AG48" i="6" s="1"/>
  <c r="H49" i="6"/>
  <c r="AE49" i="6" s="1"/>
  <c r="AA49" i="6"/>
  <c r="N51" i="6"/>
  <c r="AG51" i="6" s="1"/>
  <c r="AA29" i="6"/>
  <c r="N18" i="6"/>
  <c r="AG18" i="6" s="1"/>
  <c r="N28" i="6"/>
  <c r="AG28" i="6" s="1"/>
  <c r="AB29" i="6"/>
  <c r="AB13" i="6"/>
  <c r="H16" i="6"/>
  <c r="AE16" i="6" s="1"/>
  <c r="AA16" i="6"/>
  <c r="E20" i="6"/>
  <c r="H23" i="6"/>
  <c r="AE23" i="6" s="1"/>
  <c r="N25" i="6"/>
  <c r="AG25" i="6" s="1"/>
  <c r="E26" i="6"/>
  <c r="E30" i="6"/>
  <c r="N32" i="6"/>
  <c r="AG32" i="6" s="1"/>
  <c r="E33" i="6"/>
  <c r="AD35" i="6"/>
  <c r="E36" i="6"/>
  <c r="E40" i="6"/>
  <c r="E46" i="6"/>
  <c r="N19" i="6"/>
  <c r="AG19" i="6" s="1"/>
  <c r="H26" i="6"/>
  <c r="AE26" i="6" s="1"/>
  <c r="N29" i="6"/>
  <c r="AG29" i="6" s="1"/>
  <c r="H30" i="6"/>
  <c r="AE30" i="6" s="1"/>
  <c r="H33" i="6"/>
  <c r="AE33" i="6" s="1"/>
  <c r="N35" i="6"/>
  <c r="AG35" i="6" s="1"/>
  <c r="H36" i="6"/>
  <c r="AE36" i="6" s="1"/>
  <c r="N39" i="6"/>
  <c r="AG39" i="6" s="1"/>
  <c r="H40" i="6"/>
  <c r="AE40" i="6" s="1"/>
  <c r="N42" i="6"/>
  <c r="AG42" i="6" s="1"/>
  <c r="E43" i="6"/>
  <c r="N45" i="6"/>
  <c r="AG45" i="6" s="1"/>
  <c r="H46" i="6"/>
  <c r="AE46" i="6" s="1"/>
  <c r="N49" i="6"/>
  <c r="AG49" i="6" s="1"/>
  <c r="E50" i="6"/>
  <c r="E27" i="6"/>
  <c r="E31" i="6"/>
  <c r="E37" i="6"/>
  <c r="H43" i="6"/>
  <c r="AE43" i="6" s="1"/>
  <c r="E47" i="6"/>
  <c r="H50" i="6"/>
  <c r="AE50" i="6" s="1"/>
  <c r="AA24" i="6"/>
  <c r="H31" i="6"/>
  <c r="AE31" i="6" s="1"/>
  <c r="N33" i="6"/>
  <c r="AG33" i="6" s="1"/>
  <c r="E34" i="6"/>
  <c r="N36" i="6"/>
  <c r="AG36" i="6" s="1"/>
  <c r="H37" i="6"/>
  <c r="AE37" i="6" s="1"/>
  <c r="N40" i="6"/>
  <c r="AG40" i="6" s="1"/>
  <c r="E41" i="6"/>
  <c r="N46" i="6"/>
  <c r="AG46" i="6" s="1"/>
  <c r="H47" i="6"/>
  <c r="AE47" i="6" s="1"/>
  <c r="AB17" i="6"/>
  <c r="N26" i="6"/>
  <c r="AG26" i="6" s="1"/>
  <c r="N14" i="6"/>
  <c r="AG14" i="6" s="1"/>
  <c r="E15" i="6"/>
  <c r="E18" i="6"/>
  <c r="E22" i="6"/>
  <c r="E28" i="6"/>
  <c r="H34" i="6"/>
  <c r="AE34" i="6" s="1"/>
  <c r="E38" i="6"/>
  <c r="N43" i="6"/>
  <c r="AG43" i="6" s="1"/>
  <c r="E44" i="6"/>
  <c r="E48" i="6"/>
  <c r="N50" i="6"/>
  <c r="AG50" i="6" s="1"/>
  <c r="F2" i="4"/>
  <c r="I2" i="4"/>
  <c r="R2" i="4"/>
  <c r="U2" i="4"/>
  <c r="V2" i="4"/>
  <c r="W2" i="4"/>
  <c r="Z2" i="4"/>
  <c r="AA2" i="4"/>
  <c r="I3" i="4"/>
  <c r="W3" i="4" s="1"/>
  <c r="L3" i="4"/>
  <c r="X3" i="4" s="1"/>
  <c r="O3" i="4"/>
  <c r="Y3" i="4" s="1"/>
  <c r="R3" i="4"/>
  <c r="Z3" i="4" s="1"/>
  <c r="U3" i="4"/>
  <c r="AA3" i="4" s="1"/>
  <c r="V3" i="4"/>
  <c r="F4" i="4"/>
  <c r="I4" i="4"/>
  <c r="R4" i="4"/>
  <c r="U4" i="4"/>
  <c r="V4" i="4"/>
  <c r="W4" i="4"/>
  <c r="Z4" i="4"/>
  <c r="AA4" i="4"/>
  <c r="F5" i="4"/>
  <c r="V5" i="4" s="1"/>
  <c r="I5" i="4"/>
  <c r="W5" i="4" s="1"/>
  <c r="R5" i="4"/>
  <c r="U5" i="4"/>
  <c r="Z5" i="4"/>
  <c r="AA5" i="4"/>
  <c r="F6" i="4"/>
  <c r="I6" i="4"/>
  <c r="W6" i="4" s="1"/>
  <c r="L6" i="4"/>
  <c r="X6" i="4" s="1"/>
  <c r="O6" i="4"/>
  <c r="Y6" i="4" s="1"/>
  <c r="R6" i="4"/>
  <c r="Z6" i="4" s="1"/>
  <c r="U6" i="4"/>
  <c r="AA6" i="4" s="1"/>
  <c r="V6" i="4"/>
  <c r="F7" i="4"/>
  <c r="I7" i="4"/>
  <c r="R7" i="4"/>
  <c r="U7" i="4"/>
  <c r="V7" i="4"/>
  <c r="W7" i="4"/>
  <c r="Z7" i="4"/>
  <c r="AA7" i="4"/>
  <c r="F8" i="4"/>
  <c r="V8" i="4" s="1"/>
  <c r="I8" i="4"/>
  <c r="W8" i="4" s="1"/>
  <c r="R8" i="4"/>
  <c r="U8" i="4"/>
  <c r="Z8" i="4"/>
  <c r="AA8" i="4"/>
  <c r="B20" i="4"/>
  <c r="L5" i="4" s="1"/>
  <c r="X5" i="4" s="1"/>
  <c r="B24" i="4"/>
  <c r="O5" i="4" s="1"/>
  <c r="Y5" i="4" s="1"/>
  <c r="AA44" i="6" l="1"/>
  <c r="AD44" i="6"/>
  <c r="AB44" i="6"/>
  <c r="AD36" i="6"/>
  <c r="AB36" i="6"/>
  <c r="AA36" i="6"/>
  <c r="AA38" i="6"/>
  <c r="AD38" i="6"/>
  <c r="AB38" i="6"/>
  <c r="AB31" i="6"/>
  <c r="AA31" i="6"/>
  <c r="AD31" i="6"/>
  <c r="AD33" i="6"/>
  <c r="AB33" i="6"/>
  <c r="AA33" i="6"/>
  <c r="AA45" i="6"/>
  <c r="AB14" i="6"/>
  <c r="AD37" i="6"/>
  <c r="AB37" i="6"/>
  <c r="AA37" i="6"/>
  <c r="AD32" i="6"/>
  <c r="AB32" i="6"/>
  <c r="AA32" i="6"/>
  <c r="AA28" i="6"/>
  <c r="AD28" i="6"/>
  <c r="AB28" i="6"/>
  <c r="AA21" i="6"/>
  <c r="AB49" i="6"/>
  <c r="AD30" i="6"/>
  <c r="AB30" i="6"/>
  <c r="AA30" i="6"/>
  <c r="AB45" i="6"/>
  <c r="AB35" i="6"/>
  <c r="AA14" i="6"/>
  <c r="AD43" i="6"/>
  <c r="AB43" i="6"/>
  <c r="AA43" i="6"/>
  <c r="AD22" i="6"/>
  <c r="AB22" i="6"/>
  <c r="AA22" i="6"/>
  <c r="AA41" i="6"/>
  <c r="AD41" i="6"/>
  <c r="AB41" i="6"/>
  <c r="AB21" i="6"/>
  <c r="AD50" i="6"/>
  <c r="AB50" i="6"/>
  <c r="AA50" i="6"/>
  <c r="AD46" i="6"/>
  <c r="AB46" i="6"/>
  <c r="AA46" i="6"/>
  <c r="AD26" i="6"/>
  <c r="AB26" i="6"/>
  <c r="AA26" i="6"/>
  <c r="AG17" i="6"/>
  <c r="AA17" i="6"/>
  <c r="AD20" i="6"/>
  <c r="AB20" i="6"/>
  <c r="AA20" i="6"/>
  <c r="AD27" i="6"/>
  <c r="AB27" i="6"/>
  <c r="AA27" i="6"/>
  <c r="AB42" i="6"/>
  <c r="AD23" i="6"/>
  <c r="AB23" i="6"/>
  <c r="AA23" i="6"/>
  <c r="AB51" i="6"/>
  <c r="AA34" i="6"/>
  <c r="AD34" i="6"/>
  <c r="AB34" i="6"/>
  <c r="AA18" i="6"/>
  <c r="AD18" i="6"/>
  <c r="AB18" i="6"/>
  <c r="AA48" i="6"/>
  <c r="AD48" i="6"/>
  <c r="AB48" i="6"/>
  <c r="AB15" i="6"/>
  <c r="AD15" i="6"/>
  <c r="AA15" i="6"/>
  <c r="AD47" i="6"/>
  <c r="AB47" i="6"/>
  <c r="AA47" i="6"/>
  <c r="AD40" i="6"/>
  <c r="AB40" i="6"/>
  <c r="AA40" i="6"/>
  <c r="AA42" i="6"/>
  <c r="AA25" i="6"/>
  <c r="AD25" i="6"/>
  <c r="AB25" i="6"/>
  <c r="O7" i="4"/>
  <c r="Y7" i="4" s="1"/>
  <c r="L4" i="4"/>
  <c r="X4" i="4" s="1"/>
  <c r="O4" i="4"/>
  <c r="Y4" i="4" s="1"/>
  <c r="O2" i="4"/>
  <c r="Y2" i="4" s="1"/>
  <c r="L7" i="4"/>
  <c r="X7" i="4" s="1"/>
  <c r="O8" i="4"/>
  <c r="Y8" i="4" s="1"/>
  <c r="L2" i="4"/>
  <c r="X2" i="4" s="1"/>
  <c r="L8" i="4"/>
  <c r="X8" i="4" s="1"/>
</calcChain>
</file>

<file path=xl/comments1.xml><?xml version="1.0" encoding="utf-8"?>
<comments xmlns="http://schemas.openxmlformats.org/spreadsheetml/2006/main">
  <authors>
    <author>Хацкевич Юлия</author>
  </authors>
  <commentList>
    <comment ref="E11" authorId="0" shapeId="0">
      <text>
        <r>
          <rPr>
            <b/>
            <sz val="9"/>
            <color indexed="81"/>
            <rFont val="Tahoma"/>
            <family val="2"/>
            <charset val="204"/>
          </rPr>
          <t>Хацкевич Юлия:</t>
        </r>
        <r>
          <rPr>
            <sz val="9"/>
            <color indexed="81"/>
            <rFont val="Tahoma"/>
            <family val="2"/>
            <charset val="204"/>
          </rPr>
          <t xml:space="preserve">
1,5%
</t>
        </r>
      </text>
    </comment>
    <comment ref="H11" authorId="0" shapeId="0">
      <text>
        <r>
          <rPr>
            <b/>
            <sz val="9"/>
            <color indexed="81"/>
            <rFont val="Tahoma"/>
            <family val="2"/>
            <charset val="204"/>
          </rPr>
          <t>Хацкевич Юлия:</t>
        </r>
        <r>
          <rPr>
            <sz val="9"/>
            <color indexed="81"/>
            <rFont val="Tahoma"/>
            <family val="2"/>
            <charset val="204"/>
          </rPr>
          <t xml:space="preserve">
0,5%</t>
        </r>
      </text>
    </comment>
    <comment ref="K11" authorId="0" shapeId="0">
      <text>
        <r>
          <rPr>
            <b/>
            <sz val="9"/>
            <color indexed="81"/>
            <rFont val="Tahoma"/>
            <family val="2"/>
            <charset val="204"/>
          </rPr>
          <t>Хацкевич Юлия:</t>
        </r>
        <r>
          <rPr>
            <sz val="9"/>
            <color indexed="81"/>
            <rFont val="Tahoma"/>
            <family val="2"/>
            <charset val="204"/>
          </rPr>
          <t xml:space="preserve">
1%
</t>
        </r>
      </text>
    </comment>
    <comment ref="N11" authorId="0" shapeId="0">
      <text>
        <r>
          <rPr>
            <b/>
            <sz val="9"/>
            <color indexed="81"/>
            <rFont val="Tahoma"/>
            <family val="2"/>
            <charset val="204"/>
          </rPr>
          <t>Хацкевич Юлия:</t>
        </r>
        <r>
          <rPr>
            <sz val="9"/>
            <color indexed="81"/>
            <rFont val="Tahoma"/>
            <family val="2"/>
            <charset val="204"/>
          </rPr>
          <t xml:space="preserve">
1,5%</t>
        </r>
      </text>
    </comment>
    <comment ref="Q11" authorId="0" shapeId="0">
      <text>
        <r>
          <rPr>
            <b/>
            <sz val="9"/>
            <color indexed="81"/>
            <rFont val="Tahoma"/>
            <family val="2"/>
            <charset val="204"/>
          </rPr>
          <t>Хацкевич Юлия:</t>
        </r>
        <r>
          <rPr>
            <sz val="9"/>
            <color indexed="81"/>
            <rFont val="Tahoma"/>
            <family val="2"/>
            <charset val="204"/>
          </rPr>
          <t xml:space="preserve">
1,25%
</t>
        </r>
      </text>
    </comment>
    <comment ref="T11" authorId="0" shapeId="0">
      <text>
        <r>
          <rPr>
            <b/>
            <sz val="9"/>
            <color indexed="81"/>
            <rFont val="Tahoma"/>
            <family val="2"/>
            <charset val="204"/>
          </rPr>
          <t>Хацкевич Юлия:</t>
        </r>
        <r>
          <rPr>
            <sz val="9"/>
            <color indexed="81"/>
            <rFont val="Tahoma"/>
            <family val="2"/>
            <charset val="204"/>
          </rPr>
          <t xml:space="preserve">
1%
</t>
        </r>
      </text>
    </comment>
    <comment ref="V11" authorId="0" shapeId="0">
      <text>
        <r>
          <rPr>
            <b/>
            <sz val="9"/>
            <color indexed="81"/>
            <rFont val="Tahoma"/>
            <family val="2"/>
            <charset val="204"/>
          </rPr>
          <t>Хацкевич Юлия:</t>
        </r>
        <r>
          <rPr>
            <sz val="9"/>
            <color indexed="81"/>
            <rFont val="Tahoma"/>
            <family val="2"/>
            <charset val="204"/>
          </rPr>
          <t xml:space="preserve">
0,5%</t>
        </r>
      </text>
    </comment>
    <comment ref="E12" authorId="0" shapeId="0">
      <text>
        <r>
          <rPr>
            <b/>
            <sz val="9"/>
            <color indexed="81"/>
            <rFont val="Tahoma"/>
            <family val="2"/>
            <charset val="204"/>
          </rPr>
          <t>Хацкевич Юлия:</t>
        </r>
        <r>
          <rPr>
            <sz val="9"/>
            <color indexed="81"/>
            <rFont val="Tahoma"/>
            <family val="2"/>
            <charset val="204"/>
          </rPr>
          <t xml:space="preserve">
Инвестинг на 11 утра + 10 коп
</t>
        </r>
      </text>
    </comment>
    <comment ref="N12" authorId="0" shapeId="0">
      <text>
        <r>
          <rPr>
            <b/>
            <sz val="9"/>
            <color indexed="81"/>
            <rFont val="Tahoma"/>
            <family val="2"/>
            <charset val="204"/>
          </rPr>
          <t>Хацкевич Юлия:</t>
        </r>
        <r>
          <rPr>
            <sz val="9"/>
            <color indexed="81"/>
            <rFont val="Tahoma"/>
            <family val="2"/>
            <charset val="204"/>
          </rPr>
          <t xml:space="preserve">
Инвестинг на 11 утра, фиксируем 1 раз при предоплате первой части
</t>
        </r>
      </text>
    </comment>
  </commentList>
</comments>
</file>

<file path=xl/sharedStrings.xml><?xml version="1.0" encoding="utf-8"?>
<sst xmlns="http://schemas.openxmlformats.org/spreadsheetml/2006/main" count="317" uniqueCount="157">
  <si>
    <t>SKU</t>
  </si>
  <si>
    <t>Дата/курс</t>
  </si>
  <si>
    <t>0,4 - 1 % гарантии+3 % утиль</t>
  </si>
  <si>
    <t>USD к RUB ЦБ РФ</t>
  </si>
  <si>
    <t>USD к RUB Инвестинг</t>
  </si>
  <si>
    <t>RUB к BYN НБ РБ</t>
  </si>
  <si>
    <t>USD к RUB НБ РБ</t>
  </si>
  <si>
    <t>CNY к USD НБ РБ</t>
  </si>
  <si>
    <t>CNY к BYN НБ РБ</t>
  </si>
  <si>
    <t>CNY к USD Инвестинг</t>
  </si>
  <si>
    <t>0,5% к инвестингу</t>
  </si>
  <si>
    <t>Логистика ($)</t>
  </si>
  <si>
    <t>Агент (%)/перевод валюты в счёте (%)/покупка валюты (%)</t>
  </si>
  <si>
    <t>Black</t>
  </si>
  <si>
    <t>Silver</t>
  </si>
  <si>
    <t>Blue</t>
  </si>
  <si>
    <t>Green</t>
  </si>
  <si>
    <t>Pink</t>
  </si>
  <si>
    <t>Sage</t>
  </si>
  <si>
    <t>Lavender</t>
  </si>
  <si>
    <t>White</t>
  </si>
  <si>
    <t>Natural</t>
  </si>
  <si>
    <t>Desert</t>
  </si>
  <si>
    <t>Techplanet, EXW Dubai ТАРГЕТ</t>
  </si>
  <si>
    <t xml:space="preserve">Angel trade Price USD, wo VAT </t>
  </si>
  <si>
    <t>Inonics trading LLC CIP Минск, USD</t>
  </si>
  <si>
    <t>ALshiva, EXW Dubai</t>
  </si>
  <si>
    <t>ALshiva, EXW Dubai Target</t>
  </si>
  <si>
    <t>Noviva, EXW Dubai</t>
  </si>
  <si>
    <t>Noviva, EXW Dubai Target</t>
  </si>
  <si>
    <t>Бигап, EXW Dubai</t>
  </si>
  <si>
    <t>Бигап, EXW Dubai Target</t>
  </si>
  <si>
    <t>VVP, таргет</t>
  </si>
  <si>
    <t>VVP, себестоимость</t>
  </si>
  <si>
    <t>Huaxun, CIP минск, Target</t>
  </si>
  <si>
    <t>Huaxun, себестоимость</t>
  </si>
  <si>
    <t>Целевая РРЦ</t>
  </si>
  <si>
    <t>Маржа Techplanet</t>
  </si>
  <si>
    <t>Маржа Angel trade</t>
  </si>
  <si>
    <t>маржа Inonics trading LLC</t>
  </si>
  <si>
    <t xml:space="preserve">  Маржа Alshiva</t>
  </si>
  <si>
    <t>Маржа Noviva</t>
  </si>
  <si>
    <t>Маржа Бигап</t>
  </si>
  <si>
    <t>кол-во к закупке Techplanet</t>
  </si>
  <si>
    <t>Сумма Techplanet, USD</t>
  </si>
  <si>
    <t>Разбивка по цветам</t>
  </si>
  <si>
    <t>Инвестинг на 11:00</t>
  </si>
  <si>
    <t>Маржа ETK</t>
  </si>
  <si>
    <t>Inonics trading LLC CIP Минск</t>
  </si>
  <si>
    <t>USD к BYN НБ РБ</t>
  </si>
  <si>
    <t>-</t>
  </si>
  <si>
    <t>Orange</t>
  </si>
  <si>
    <t>ETK EXW Dubai</t>
  </si>
  <si>
    <t>QTY Патио</t>
  </si>
  <si>
    <t>в расчёт на торги применяем 1% утиля, вместо 3%</t>
  </si>
  <si>
    <t>Маржа VVP</t>
  </si>
  <si>
    <t>Techplanet, себестоимость</t>
  </si>
  <si>
    <t>Angel trade, себестоимость</t>
  </si>
  <si>
    <t>Inonics trading LLC, себестоимость</t>
  </si>
  <si>
    <t>ALshiva, себестоимость</t>
  </si>
  <si>
    <t>Noviva, себестоимость</t>
  </si>
  <si>
    <t>Бигап, себестоимость</t>
  </si>
  <si>
    <t>ETK, себестоимость</t>
  </si>
  <si>
    <t>iPhone 15 256GB</t>
  </si>
  <si>
    <t>iPhone 16 256GB</t>
  </si>
  <si>
    <t>iPhone 17 256GB</t>
  </si>
  <si>
    <t>iPhone 17 Pro 512GB</t>
  </si>
  <si>
    <t>iPhone 17 Pro Max 512GB</t>
  </si>
  <si>
    <t>MIN с/ст с НДС</t>
  </si>
  <si>
    <t>17 256 и 17 512- готов к отгрузке, остальное 2-3 недели</t>
  </si>
  <si>
    <t>вторая цена с/ст с НДС</t>
  </si>
  <si>
    <t>на 26.06 10:00</t>
  </si>
  <si>
    <t xml:space="preserve">iPhone 15 128GB </t>
  </si>
  <si>
    <t>iPhone 16 128GB</t>
  </si>
  <si>
    <t xml:space="preserve">iPhone 16e 128GB </t>
  </si>
  <si>
    <t>iPhone 16 Pro 128G</t>
  </si>
  <si>
    <t>iPhone 16 Pro Max 256GB</t>
  </si>
  <si>
    <t>iPhone 16 Pro Max 512GB</t>
  </si>
  <si>
    <t>iPhone 17 Pro 256GB</t>
  </si>
  <si>
    <t>iPhone 17 Pro Max 256GB</t>
  </si>
  <si>
    <t>iPhone 17e 256GB</t>
  </si>
  <si>
    <t xml:space="preserve">Teal </t>
  </si>
  <si>
    <t>Ultramarine</t>
  </si>
  <si>
    <t>Ultramarin</t>
  </si>
  <si>
    <t>White/Black</t>
  </si>
  <si>
    <t>Desert- сообщите если есть другие доступные цвета</t>
  </si>
  <si>
    <t>Desert - сообщите если есть другие доступные цвета</t>
  </si>
  <si>
    <t xml:space="preserve">Mist blue </t>
  </si>
  <si>
    <t xml:space="preserve">Deep Blue </t>
  </si>
  <si>
    <t>Cosmic Orange</t>
  </si>
  <si>
    <t>Deep Blue</t>
  </si>
  <si>
    <t xml:space="preserve">Cosmic Orange </t>
  </si>
  <si>
    <t>Soft pink</t>
  </si>
  <si>
    <t>Цвет</t>
  </si>
  <si>
    <t xml:space="preserve">кол-во к закупке </t>
  </si>
  <si>
    <t>Сумма , USD</t>
  </si>
  <si>
    <t>Готовность лота к инспекции с момента предоплаты</t>
  </si>
  <si>
    <t>Товар в Минске с момента оплаты</t>
  </si>
  <si>
    <t>2-7 days</t>
  </si>
  <si>
    <t>Условия оплаты</t>
  </si>
  <si>
    <t>70/30</t>
  </si>
  <si>
    <t>Angel trade Price USD CPT, wo VAT ТАРГЕТ</t>
  </si>
  <si>
    <t>50% предоплата, 50%  через 5 дней после прибытия  в MSQ</t>
  </si>
  <si>
    <t>Регион поставки</t>
  </si>
  <si>
    <t>Гонконг/Дубай</t>
  </si>
  <si>
    <t>597</t>
  </si>
  <si>
    <t>от 14 до 21 дня (в текущих сроках транзита товара в MSQ)</t>
  </si>
  <si>
    <t>Базис поставки</t>
  </si>
  <si>
    <t>EXW Dubai</t>
  </si>
  <si>
    <t xml:space="preserve"> Dubai</t>
  </si>
  <si>
    <t>CPT MSQ</t>
  </si>
  <si>
    <t>без инспекции, доставляем в аэропорт MSQ</t>
  </si>
  <si>
    <t>DAP Minsk</t>
  </si>
  <si>
    <t>100% предоплата</t>
  </si>
  <si>
    <t>срок поставки 12-14 дней после оплаты</t>
  </si>
  <si>
    <t>EXW</t>
  </si>
  <si>
    <t>Dubai</t>
  </si>
  <si>
    <t>14 дней</t>
  </si>
  <si>
    <t>на 26.06 10:05 макс</t>
  </si>
  <si>
    <t>не факт что поддержат цены</t>
  </si>
  <si>
    <t>курс RUB инвестинг + 10 коп</t>
  </si>
  <si>
    <t>курс RUB инвестинг</t>
  </si>
  <si>
    <t>упр курс USD</t>
  </si>
  <si>
    <t>курс USD НБРБ</t>
  </si>
  <si>
    <t>Курс CNY инвестинг + 0,5%</t>
  </si>
  <si>
    <t>Курс CNY НБРБ</t>
  </si>
  <si>
    <t>Курс RUB НБРБ</t>
  </si>
  <si>
    <t>Курс RUB/ USD НБРБ</t>
  </si>
  <si>
    <t>Курс ЦБРФ</t>
  </si>
  <si>
    <t>Ангел - курс инвестинга на 11:00 + 0,5</t>
  </si>
  <si>
    <t>Apple Watch S11 46mm Jet Black m/l</t>
  </si>
  <si>
    <t>Apple Watch S11 42mm Silver s/m</t>
  </si>
  <si>
    <t>Apple Watch S11 42mm Space Gray s/m</t>
  </si>
  <si>
    <t xml:space="preserve"> Apple Watch S11 42mm Jet Black s/m</t>
  </si>
  <si>
    <t>Apple Watch SE 3 GPS 44mm Starlight m/l</t>
  </si>
  <si>
    <t>Apple AirPods 4 ANC</t>
  </si>
  <si>
    <t xml:space="preserve"> Apple AirPods 4</t>
  </si>
  <si>
    <t>Маржа Alshiva</t>
  </si>
  <si>
    <t>Маржа TechPlanet</t>
  </si>
  <si>
    <t>Маржа Angel</t>
  </si>
  <si>
    <t>Маржа Inonics</t>
  </si>
  <si>
    <t>с/с с НДС в BYN</t>
  </si>
  <si>
    <t>Noviva EXW Dubai, USD ТАРГЕТ</t>
  </si>
  <si>
    <t>Noviva EXW Dubai, USD</t>
  </si>
  <si>
    <t>AlShiva EXW Dubai, USD ТАРГЕТ</t>
  </si>
  <si>
    <t>AlShiva EXW Dubai, USD</t>
  </si>
  <si>
    <t>TechPlanet, EXW Dubai, USD ТАРГЕТ</t>
  </si>
  <si>
    <t>TechPlanet, EXW Dubai, USD</t>
  </si>
  <si>
    <t>Angel Trade, CPT MSQ, USD ТАРГЕТ</t>
  </si>
  <si>
    <t>Angel Trade, CPT MSQ, USD</t>
  </si>
  <si>
    <t>Inonics DAP Minsk, USD ТАРГЕТ</t>
  </si>
  <si>
    <t>Inonics DAP Minsk, USD</t>
  </si>
  <si>
    <t>Бигап EXW Дубай, USD ТАРГЕТ</t>
  </si>
  <si>
    <t>Бигап EXW Дубай, USD</t>
  </si>
  <si>
    <t>Цена</t>
  </si>
  <si>
    <t>Qty</t>
  </si>
  <si>
    <t>Модель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</si>
</sst>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-* #,##0.00_-;\-* #,##0.00_-;_-* &quot;-&quot;??_-;_-@_-"/>
    <numFmt numFmtId="164" formatCode="0.000"/>
    <numFmt numFmtId="165" formatCode="0.0%"/>
    <numFmt numFmtId="166" formatCode="0.0000"/>
    <numFmt numFmtId="167" formatCode="#,##0_ ;\-#,##0\ "/>
    <numFmt numFmtId="168" formatCode="_-* #,##0_-;\-* #,##0_-;_-* &quot;-&quot;??_-;_-@_-"/>
  </numFmts>
  <fonts count="17" x14ac:knownFonts="1">
    <font>
      <sz val="8"/>
      <name val="Arial"/>
      <family val="2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charset val="204"/>
      <scheme val="minor"/>
    </font>
    <font>
      <sz val="8"/>
      <color rgb="FF2B2E33"/>
      <name val="Arial"/>
      <family val="2"/>
      <charset val="204"/>
    </font>
    <font>
      <sz val="8"/>
      <color rgb="FF000000"/>
      <name val="Tahoma"/>
      <family val="2"/>
      <charset val="204"/>
    </font>
    <font>
      <b/>
      <sz val="11"/>
      <color rgb="FFFF0000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1"/>
      <color rgb="FFFF0000"/>
      <name val="Calibri"/>
      <family val="2"/>
      <scheme val="minor"/>
    </font>
    <font>
      <b/>
      <sz val="8"/>
      <name val="Arial"/>
      <family val="2"/>
      <charset val="204"/>
    </font>
    <font>
      <b/>
      <sz val="12"/>
      <color theme="1"/>
      <name val="Calibri"/>
      <family val="2"/>
      <charset val="204"/>
      <scheme val="minor"/>
    </font>
    <font>
      <b/>
      <sz val="11"/>
      <name val="Arial"/>
      <family val="2"/>
      <charset val="204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EDAF7"/>
        <bgColor indexed="64"/>
      </patternFill>
    </fill>
    <fill>
      <patternFill patternType="solid">
        <fgColor rgb="FFCBE3BB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CD6E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7" fillId="0" borderId="0"/>
    <xf numFmtId="9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</cellStyleXfs>
  <cellXfs count="116">
    <xf numFmtId="0" fontId="0" fillId="0" borderId="0" xfId="0"/>
    <xf numFmtId="0" fontId="0" fillId="0" borderId="0" xfId="0" applyFill="1"/>
    <xf numFmtId="0" fontId="6" fillId="2" borderId="1" xfId="1" applyFont="1" applyFill="1" applyBorder="1" applyAlignment="1">
      <alignment horizontal="center" vertical="center" wrapText="1"/>
    </xf>
    <xf numFmtId="0" fontId="0" fillId="0" borderId="1" xfId="0" applyBorder="1"/>
    <xf numFmtId="0" fontId="8" fillId="0" borderId="1" xfId="0" applyFont="1" applyFill="1" applyBorder="1"/>
    <xf numFmtId="0" fontId="8" fillId="0" borderId="0" xfId="0" applyFont="1"/>
    <xf numFmtId="0" fontId="6" fillId="0" borderId="0" xfId="1" applyFont="1" applyAlignment="1">
      <alignment horizontal="center"/>
    </xf>
    <xf numFmtId="14" fontId="6" fillId="0" borderId="0" xfId="1" applyNumberFormat="1" applyFont="1" applyAlignment="1">
      <alignment horizontal="center"/>
    </xf>
    <xf numFmtId="0" fontId="7" fillId="0" borderId="0" xfId="1" applyAlignment="1">
      <alignment horizontal="center"/>
    </xf>
    <xf numFmtId="0" fontId="9" fillId="0" borderId="0" xfId="0" applyFont="1"/>
    <xf numFmtId="0" fontId="10" fillId="0" borderId="0" xfId="0" applyFont="1"/>
    <xf numFmtId="0" fontId="7" fillId="0" borderId="0" xfId="1" applyAlignment="1">
      <alignment horizontal="left"/>
    </xf>
    <xf numFmtId="10" fontId="11" fillId="0" borderId="0" xfId="1" applyNumberFormat="1" applyFont="1" applyAlignment="1">
      <alignment horizontal="center"/>
    </xf>
    <xf numFmtId="0" fontId="7" fillId="0" borderId="0" xfId="1" applyAlignment="1">
      <alignment horizontal="center" wrapText="1"/>
    </xf>
    <xf numFmtId="164" fontId="7" fillId="0" borderId="0" xfId="1" applyNumberFormat="1" applyAlignment="1">
      <alignment horizontal="center"/>
    </xf>
    <xf numFmtId="166" fontId="7" fillId="0" borderId="0" xfId="1" applyNumberFormat="1" applyAlignment="1">
      <alignment horizontal="center"/>
    </xf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12" fillId="12" borderId="1" xfId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2" fontId="8" fillId="0" borderId="1" xfId="1" applyNumberFormat="1" applyFont="1" applyFill="1" applyBorder="1" applyAlignment="1">
      <alignment horizontal="center" vertical="center" wrapText="1"/>
    </xf>
    <xf numFmtId="43" fontId="8" fillId="0" borderId="1" xfId="3" applyFont="1" applyFill="1" applyBorder="1" applyAlignment="1">
      <alignment horizontal="center"/>
    </xf>
    <xf numFmtId="167" fontId="8" fillId="0" borderId="1" xfId="3" applyNumberFormat="1" applyFont="1" applyFill="1" applyBorder="1" applyAlignment="1">
      <alignment horizontal="center"/>
    </xf>
    <xf numFmtId="168" fontId="6" fillId="0" borderId="1" xfId="3" applyNumberFormat="1" applyFont="1" applyFill="1" applyBorder="1" applyAlignment="1">
      <alignment vertical="center" wrapText="1"/>
    </xf>
    <xf numFmtId="165" fontId="8" fillId="0" borderId="1" xfId="2" applyNumberFormat="1" applyFont="1" applyFill="1" applyBorder="1" applyAlignment="1">
      <alignment horizontal="center" vertical="center"/>
    </xf>
    <xf numFmtId="167" fontId="12" fillId="0" borderId="1" xfId="3" applyNumberFormat="1" applyFont="1" applyFill="1" applyBorder="1" applyAlignment="1">
      <alignment horizontal="center"/>
    </xf>
    <xf numFmtId="168" fontId="8" fillId="0" borderId="0" xfId="3" applyNumberFormat="1" applyFont="1" applyBorder="1" applyAlignment="1">
      <alignment horizontal="center" wrapText="1"/>
    </xf>
    <xf numFmtId="0" fontId="7" fillId="0" borderId="0" xfId="1" applyFill="1" applyBorder="1" applyAlignment="1">
      <alignment horizontal="center"/>
    </xf>
    <xf numFmtId="0" fontId="8" fillId="0" borderId="0" xfId="0" applyFont="1" applyFill="1"/>
    <xf numFmtId="0" fontId="8" fillId="0" borderId="0" xfId="0" applyFont="1" applyAlignment="1">
      <alignment wrapText="1"/>
    </xf>
    <xf numFmtId="167" fontId="12" fillId="0" borderId="1" xfId="0" applyNumberFormat="1" applyFont="1" applyBorder="1" applyAlignment="1">
      <alignment horizontal="center" wrapText="1"/>
    </xf>
    <xf numFmtId="0" fontId="7" fillId="0" borderId="0" xfId="1" applyFill="1" applyAlignment="1">
      <alignment horizontal="center"/>
    </xf>
    <xf numFmtId="0" fontId="0" fillId="13" borderId="1" xfId="0" applyFill="1" applyBorder="1"/>
    <xf numFmtId="0" fontId="12" fillId="0" borderId="1" xfId="1" applyFont="1" applyFill="1" applyBorder="1" applyAlignment="1">
      <alignment horizontal="left"/>
    </xf>
    <xf numFmtId="0" fontId="6" fillId="0" borderId="0" xfId="1" applyFont="1" applyFill="1" applyBorder="1" applyAlignment="1">
      <alignment horizontal="center"/>
    </xf>
    <xf numFmtId="165" fontId="7" fillId="0" borderId="0" xfId="1" applyNumberFormat="1" applyFill="1" applyAlignment="1">
      <alignment horizontal="center"/>
    </xf>
    <xf numFmtId="0" fontId="13" fillId="0" borderId="0" xfId="1" applyFont="1" applyAlignment="1">
      <alignment horizontal="left"/>
    </xf>
    <xf numFmtId="0" fontId="12" fillId="0" borderId="2" xfId="1" applyFont="1" applyFill="1" applyBorder="1" applyAlignment="1">
      <alignment horizontal="center" vertical="center" wrapText="1"/>
    </xf>
    <xf numFmtId="0" fontId="8" fillId="0" borderId="0" xfId="0" applyFont="1" applyFill="1" applyAlignment="1">
      <alignment wrapText="1"/>
    </xf>
    <xf numFmtId="167" fontId="8" fillId="0" borderId="1" xfId="3" quotePrefix="1" applyNumberFormat="1" applyFont="1" applyFill="1" applyBorder="1" applyAlignment="1">
      <alignment horizontal="center"/>
    </xf>
    <xf numFmtId="0" fontId="12" fillId="14" borderId="1" xfId="1" applyFont="1" applyFill="1" applyBorder="1" applyAlignment="1">
      <alignment horizontal="left"/>
    </xf>
    <xf numFmtId="2" fontId="8" fillId="6" borderId="1" xfId="1" applyNumberFormat="1" applyFont="1" applyFill="1" applyBorder="1" applyAlignment="1">
      <alignment horizontal="center" vertical="center" wrapText="1"/>
    </xf>
    <xf numFmtId="164" fontId="7" fillId="15" borderId="0" xfId="1" applyNumberFormat="1" applyFill="1" applyAlignment="1">
      <alignment horizontal="center" wrapText="1"/>
    </xf>
    <xf numFmtId="164" fontId="6" fillId="15" borderId="0" xfId="1" applyNumberFormat="1" applyFont="1" applyFill="1" applyAlignment="1">
      <alignment horizontal="center" wrapText="1"/>
    </xf>
    <xf numFmtId="4" fontId="0" fillId="0" borderId="0" xfId="0" applyNumberFormat="1"/>
    <xf numFmtId="4" fontId="0" fillId="0" borderId="0" xfId="0" applyNumberFormat="1" applyAlignment="1">
      <alignment wrapText="1"/>
    </xf>
    <xf numFmtId="0" fontId="7" fillId="15" borderId="0" xfId="1" applyFill="1" applyAlignment="1">
      <alignment horizontal="center"/>
    </xf>
    <xf numFmtId="0" fontId="7" fillId="0" borderId="0" xfId="1" applyFill="1" applyAlignment="1">
      <alignment horizontal="left"/>
    </xf>
    <xf numFmtId="14" fontId="6" fillId="0" borderId="0" xfId="1" applyNumberFormat="1" applyFont="1" applyAlignment="1">
      <alignment horizontal="left"/>
    </xf>
    <xf numFmtId="0" fontId="12" fillId="12" borderId="1" xfId="1" applyFont="1" applyFill="1" applyBorder="1" applyAlignment="1">
      <alignment horizontal="left" vertical="center" wrapText="1"/>
    </xf>
    <xf numFmtId="1" fontId="6" fillId="0" borderId="0" xfId="1" applyNumberFormat="1" applyFont="1" applyBorder="1" applyAlignment="1">
      <alignment horizontal="left" wrapText="1"/>
    </xf>
    <xf numFmtId="0" fontId="7" fillId="0" borderId="0" xfId="1" applyFill="1" applyBorder="1" applyAlignment="1">
      <alignment horizontal="left"/>
    </xf>
    <xf numFmtId="167" fontId="12" fillId="0" borderId="0" xfId="3" applyNumberFormat="1" applyFont="1" applyFill="1" applyBorder="1" applyAlignment="1">
      <alignment horizontal="center"/>
    </xf>
    <xf numFmtId="167" fontId="12" fillId="0" borderId="0" xfId="0" applyNumberFormat="1" applyFont="1" applyBorder="1" applyAlignment="1">
      <alignment horizontal="center" wrapText="1"/>
    </xf>
    <xf numFmtId="0" fontId="8" fillId="0" borderId="0" xfId="0" applyFont="1" applyBorder="1" applyAlignment="1">
      <alignment horizontal="center" wrapText="1"/>
    </xf>
    <xf numFmtId="1" fontId="6" fillId="0" borderId="2" xfId="1" applyNumberFormat="1" applyFont="1" applyBorder="1" applyAlignment="1">
      <alignment horizontal="center" wrapText="1"/>
    </xf>
    <xf numFmtId="1" fontId="6" fillId="0" borderId="1" xfId="1" applyNumberFormat="1" applyFont="1" applyBorder="1" applyAlignment="1">
      <alignment horizontal="left" wrapText="1"/>
    </xf>
    <xf numFmtId="168" fontId="8" fillId="0" borderId="1" xfId="3" applyNumberFormat="1" applyFont="1" applyBorder="1" applyAlignment="1">
      <alignment horizontal="center" wrapText="1"/>
    </xf>
    <xf numFmtId="49" fontId="8" fillId="0" borderId="1" xfId="3" applyNumberFormat="1" applyFont="1" applyBorder="1" applyAlignment="1">
      <alignment horizontal="center" wrapText="1"/>
    </xf>
    <xf numFmtId="168" fontId="8" fillId="0" borderId="1" xfId="3" applyNumberFormat="1" applyFont="1" applyBorder="1" applyAlignment="1">
      <alignment horizontal="left"/>
    </xf>
    <xf numFmtId="0" fontId="0" fillId="5" borderId="1" xfId="0" applyFill="1" applyBorder="1" applyAlignment="1">
      <alignment horizontal="center" vertical="center"/>
    </xf>
    <xf numFmtId="0" fontId="12" fillId="0" borderId="1" xfId="1" applyFont="1" applyFill="1" applyBorder="1" applyAlignment="1">
      <alignment horizontal="left" wrapText="1"/>
    </xf>
    <xf numFmtId="0" fontId="0" fillId="5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/>
    </xf>
    <xf numFmtId="0" fontId="8" fillId="0" borderId="1" xfId="2" applyNumberFormat="1" applyFont="1" applyFill="1" applyBorder="1" applyAlignment="1">
      <alignment horizontal="center" vertical="center"/>
    </xf>
    <xf numFmtId="165" fontId="8" fillId="13" borderId="1" xfId="2" applyNumberFormat="1" applyFont="1" applyFill="1" applyBorder="1" applyAlignment="1">
      <alignment horizontal="center" vertical="center"/>
    </xf>
    <xf numFmtId="0" fontId="12" fillId="2" borderId="1" xfId="1" applyFont="1" applyFill="1" applyBorder="1" applyAlignment="1">
      <alignment horizontal="center" vertical="center" wrapText="1"/>
    </xf>
    <xf numFmtId="0" fontId="2" fillId="0" borderId="0" xfId="5" applyAlignment="1">
      <alignment vertical="center"/>
    </xf>
    <xf numFmtId="0" fontId="2" fillId="0" borderId="0" xfId="5" applyAlignment="1">
      <alignment horizontal="center" vertical="center"/>
    </xf>
    <xf numFmtId="9" fontId="0" fillId="0" borderId="0" xfId="6" applyFont="1" applyAlignment="1">
      <alignment horizontal="center" vertical="center"/>
    </xf>
    <xf numFmtId="10" fontId="8" fillId="17" borderId="1" xfId="6" applyNumberFormat="1" applyFont="1" applyFill="1" applyBorder="1" applyAlignment="1">
      <alignment vertical="center"/>
    </xf>
    <xf numFmtId="10" fontId="8" fillId="18" borderId="1" xfId="6" applyNumberFormat="1" applyFont="1" applyFill="1" applyBorder="1" applyAlignment="1">
      <alignment vertical="center"/>
    </xf>
    <xf numFmtId="2" fontId="2" fillId="17" borderId="1" xfId="5" applyNumberFormat="1" applyFont="1" applyFill="1" applyBorder="1" applyAlignment="1">
      <alignment horizontal="center" vertical="center"/>
    </xf>
    <xf numFmtId="0" fontId="2" fillId="0" borderId="1" xfId="5" applyFont="1" applyBorder="1" applyAlignment="1">
      <alignment vertical="center"/>
    </xf>
    <xf numFmtId="0" fontId="2" fillId="0" borderId="1" xfId="5" applyBorder="1" applyAlignment="1">
      <alignment vertical="center"/>
    </xf>
    <xf numFmtId="3" fontId="2" fillId="0" borderId="1" xfId="5" applyNumberFormat="1" applyBorder="1" applyAlignment="1">
      <alignment horizontal="center"/>
    </xf>
    <xf numFmtId="0" fontId="2" fillId="17" borderId="1" xfId="5" applyFont="1" applyFill="1" applyBorder="1" applyAlignment="1">
      <alignment horizontal="center" vertical="center"/>
    </xf>
    <xf numFmtId="0" fontId="2" fillId="0" borderId="1" xfId="5" applyBorder="1" applyAlignment="1">
      <alignment horizontal="center" vertical="center"/>
    </xf>
    <xf numFmtId="3" fontId="14" fillId="17" borderId="1" xfId="5" applyNumberFormat="1" applyFont="1" applyFill="1" applyBorder="1" applyAlignment="1">
      <alignment horizontal="right" vertical="center"/>
    </xf>
    <xf numFmtId="3" fontId="2" fillId="19" borderId="1" xfId="5" applyNumberFormat="1" applyFill="1" applyBorder="1" applyAlignment="1">
      <alignment horizontal="center"/>
    </xf>
    <xf numFmtId="0" fontId="2" fillId="0" borderId="1" xfId="5" applyBorder="1"/>
    <xf numFmtId="0" fontId="2" fillId="0" borderId="1" xfId="5" applyBorder="1" applyAlignment="1">
      <alignment horizontal="center"/>
    </xf>
    <xf numFmtId="1" fontId="14" fillId="17" borderId="1" xfId="5" applyNumberFormat="1" applyFont="1" applyFill="1" applyBorder="1" applyAlignment="1">
      <alignment horizontal="right" vertical="center"/>
    </xf>
    <xf numFmtId="0" fontId="8" fillId="17" borderId="1" xfId="5" applyFont="1" applyFill="1" applyBorder="1" applyAlignment="1">
      <alignment horizontal="center" vertical="center"/>
    </xf>
    <xf numFmtId="0" fontId="15" fillId="18" borderId="1" xfId="5" applyFont="1" applyFill="1" applyBorder="1" applyAlignment="1">
      <alignment horizontal="center" vertical="center" wrapText="1"/>
    </xf>
    <xf numFmtId="0" fontId="12" fillId="5" borderId="1" xfId="5" applyFont="1" applyFill="1" applyBorder="1" applyAlignment="1">
      <alignment horizontal="center" vertical="center" wrapText="1"/>
    </xf>
    <xf numFmtId="0" fontId="2" fillId="0" borderId="1" xfId="5" applyBorder="1" applyAlignment="1">
      <alignment horizontal="center" vertical="center" wrapText="1"/>
    </xf>
    <xf numFmtId="0" fontId="16" fillId="0" borderId="1" xfId="5" applyFont="1" applyBorder="1" applyAlignment="1">
      <alignment horizontal="center" vertical="center" wrapText="1"/>
    </xf>
    <xf numFmtId="0" fontId="16" fillId="0" borderId="1" xfId="5" applyFont="1" applyBorder="1" applyAlignment="1">
      <alignment horizontal="center" vertical="center"/>
    </xf>
    <xf numFmtId="1" fontId="1" fillId="0" borderId="1" xfId="1" applyNumberFormat="1" applyFont="1" applyBorder="1" applyAlignment="1">
      <alignment horizontal="center"/>
    </xf>
    <xf numFmtId="1" fontId="1" fillId="0" borderId="1" xfId="1" applyNumberFormat="1" applyFont="1" applyBorder="1" applyAlignment="1">
      <alignment horizontal="left"/>
    </xf>
    <xf numFmtId="0" fontId="1" fillId="0" borderId="1" xfId="1" applyFont="1" applyFill="1" applyBorder="1" applyAlignment="1">
      <alignment horizontal="center"/>
    </xf>
    <xf numFmtId="165" fontId="1" fillId="13" borderId="1" xfId="2" applyNumberFormat="1" applyFont="1" applyFill="1" applyBorder="1" applyAlignment="1">
      <alignment horizontal="center" vertical="center"/>
    </xf>
    <xf numFmtId="0" fontId="1" fillId="0" borderId="1" xfId="2" applyNumberFormat="1" applyFont="1" applyFill="1" applyBorder="1" applyAlignment="1">
      <alignment horizontal="center" vertical="center"/>
    </xf>
    <xf numFmtId="1" fontId="1" fillId="0" borderId="1" xfId="1" applyNumberFormat="1" applyFont="1" applyFill="1" applyBorder="1" applyAlignment="1">
      <alignment horizontal="center"/>
    </xf>
    <xf numFmtId="1" fontId="1" fillId="0" borderId="1" xfId="1" applyNumberFormat="1" applyFont="1" applyFill="1" applyBorder="1" applyAlignment="1">
      <alignment horizontal="left"/>
    </xf>
    <xf numFmtId="165" fontId="1" fillId="0" borderId="1" xfId="2" applyNumberFormat="1" applyFont="1" applyFill="1" applyBorder="1" applyAlignment="1">
      <alignment horizontal="center" vertical="center"/>
    </xf>
    <xf numFmtId="0" fontId="1" fillId="0" borderId="0" xfId="1" applyFont="1" applyBorder="1" applyAlignment="1">
      <alignment horizontal="center" wrapText="1"/>
    </xf>
    <xf numFmtId="0" fontId="1" fillId="0" borderId="0" xfId="1" applyFont="1" applyAlignment="1">
      <alignment horizontal="center" wrapText="1"/>
    </xf>
    <xf numFmtId="49" fontId="1" fillId="0" borderId="1" xfId="1" applyNumberFormat="1" applyFont="1" applyBorder="1" applyAlignment="1">
      <alignment horizontal="center" wrapText="1"/>
    </xf>
    <xf numFmtId="0" fontId="1" fillId="0" borderId="1" xfId="1" applyFont="1" applyBorder="1" applyAlignment="1">
      <alignment horizontal="center" wrapText="1"/>
    </xf>
    <xf numFmtId="0" fontId="1" fillId="0" borderId="1" xfId="1" applyFont="1" applyFill="1" applyBorder="1" applyAlignment="1">
      <alignment horizontal="center" wrapText="1"/>
    </xf>
    <xf numFmtId="0" fontId="1" fillId="0" borderId="1" xfId="1" applyFont="1" applyBorder="1" applyAlignment="1">
      <alignment horizontal="center"/>
    </xf>
    <xf numFmtId="0" fontId="1" fillId="0" borderId="0" xfId="1" applyFont="1" applyAlignment="1">
      <alignment horizontal="center"/>
    </xf>
    <xf numFmtId="0" fontId="12" fillId="2" borderId="1" xfId="1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wrapText="1"/>
    </xf>
    <xf numFmtId="0" fontId="8" fillId="0" borderId="4" xfId="0" applyFont="1" applyBorder="1" applyAlignment="1">
      <alignment horizontal="center" wrapText="1"/>
    </xf>
    <xf numFmtId="0" fontId="8" fillId="0" borderId="5" xfId="0" applyFont="1" applyBorder="1" applyAlignment="1">
      <alignment horizontal="center" wrapText="1"/>
    </xf>
  </cellXfs>
  <cellStyles count="7">
    <cellStyle name="Обычный" xfId="0" builtinId="0"/>
    <cellStyle name="Обычный 2" xfId="1"/>
    <cellStyle name="Обычный 3" xfId="5"/>
    <cellStyle name="Процентный 2" xfId="2"/>
    <cellStyle name="Процентный 3" xfId="6"/>
    <cellStyle name="Финансовый 2" xfId="3"/>
    <cellStyle name="Финансовый 4" xfId="4"/>
  </cellStyles>
  <dxfs count="5"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00BFFF"/>
      <rgbColor rgb="00993366"/>
      <rgbColor rgb="00FFA500"/>
      <rgbColor rgb="00CCFFFF"/>
      <rgbColor rgb="009ACD32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Relationship Id="rId5" Type="http://schemas.openxmlformats.org/officeDocument/2006/relationships/image" Target="../media/image13.png"/><Relationship Id="rId4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84</xdr:row>
      <xdr:rowOff>68580</xdr:rowOff>
    </xdr:from>
    <xdr:to>
      <xdr:col>7</xdr:col>
      <xdr:colOff>548640</xdr:colOff>
      <xdr:row>122</xdr:row>
      <xdr:rowOff>22860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10560"/>
          <a:ext cx="7581900" cy="6903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76</xdr:row>
      <xdr:rowOff>53340</xdr:rowOff>
    </xdr:from>
    <xdr:to>
      <xdr:col>10</xdr:col>
      <xdr:colOff>182880</xdr:colOff>
      <xdr:row>81</xdr:row>
      <xdr:rowOff>175260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432280"/>
          <a:ext cx="8587740" cy="10363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83820</xdr:colOff>
      <xdr:row>59</xdr:row>
      <xdr:rowOff>76200</xdr:rowOff>
    </xdr:from>
    <xdr:to>
      <xdr:col>7</xdr:col>
      <xdr:colOff>205740</xdr:colOff>
      <xdr:row>74</xdr:row>
      <xdr:rowOff>129539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" y="11346180"/>
          <a:ext cx="7155180" cy="27965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175260</xdr:colOff>
      <xdr:row>59</xdr:row>
      <xdr:rowOff>83820</xdr:rowOff>
    </xdr:from>
    <xdr:to>
      <xdr:col>27</xdr:col>
      <xdr:colOff>373380</xdr:colOff>
      <xdr:row>87</xdr:row>
      <xdr:rowOff>60960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80120" y="11353800"/>
          <a:ext cx="3489960" cy="5097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35</xdr:col>
      <xdr:colOff>327660</xdr:colOff>
      <xdr:row>57</xdr:row>
      <xdr:rowOff>68580</xdr:rowOff>
    </xdr:from>
    <xdr:to>
      <xdr:col>56</xdr:col>
      <xdr:colOff>230777</xdr:colOff>
      <xdr:row>66</xdr:row>
      <xdr:rowOff>152400</xdr:rowOff>
    </xdr:to>
    <xdr:pic>
      <xdr:nvPicPr>
        <xdr:cNvPr id="6" name="Рисунок 5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58260" y="10972800"/>
          <a:ext cx="4863737" cy="1729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35</xdr:col>
      <xdr:colOff>601980</xdr:colOff>
      <xdr:row>68</xdr:row>
      <xdr:rowOff>22860</xdr:rowOff>
    </xdr:from>
    <xdr:to>
      <xdr:col>41</xdr:col>
      <xdr:colOff>480060</xdr:colOff>
      <xdr:row>83</xdr:row>
      <xdr:rowOff>137160</xdr:rowOff>
    </xdr:to>
    <xdr:pic>
      <xdr:nvPicPr>
        <xdr:cNvPr id="7" name="Рисунок 6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32580" y="12938760"/>
          <a:ext cx="2727960" cy="2857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27</xdr:col>
      <xdr:colOff>205740</xdr:colOff>
      <xdr:row>56</xdr:row>
      <xdr:rowOff>556260</xdr:rowOff>
    </xdr:from>
    <xdr:to>
      <xdr:col>35</xdr:col>
      <xdr:colOff>327660</xdr:colOff>
      <xdr:row>64</xdr:row>
      <xdr:rowOff>152400</xdr:rowOff>
    </xdr:to>
    <xdr:pic>
      <xdr:nvPicPr>
        <xdr:cNvPr id="8" name="Рисунок 7"/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2440" y="10812780"/>
          <a:ext cx="4655820" cy="152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27</xdr:col>
      <xdr:colOff>655320</xdr:colOff>
      <xdr:row>66</xdr:row>
      <xdr:rowOff>83820</xdr:rowOff>
    </xdr:from>
    <xdr:to>
      <xdr:col>32</xdr:col>
      <xdr:colOff>289560</xdr:colOff>
      <xdr:row>88</xdr:row>
      <xdr:rowOff>30479</xdr:rowOff>
    </xdr:to>
    <xdr:pic>
      <xdr:nvPicPr>
        <xdr:cNvPr id="9" name="Рисунок 9"/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52020" y="12633960"/>
          <a:ext cx="3444240" cy="39700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898071</xdr:colOff>
      <xdr:row>14</xdr:row>
      <xdr:rowOff>95249</xdr:rowOff>
    </xdr:from>
    <xdr:ext cx="7197700" cy="3918857"/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8321" y="2762249"/>
          <a:ext cx="7197700" cy="3918857"/>
        </a:xfrm>
        <a:prstGeom prst="rect">
          <a:avLst/>
        </a:prstGeom>
      </xdr:spPr>
    </xdr:pic>
    <xdr:clientData/>
  </xdr:oneCellAnchor>
  <xdr:oneCellAnchor>
    <xdr:from>
      <xdr:col>8</xdr:col>
      <xdr:colOff>68036</xdr:colOff>
      <xdr:row>14</xdr:row>
      <xdr:rowOff>149679</xdr:rowOff>
    </xdr:from>
    <xdr:ext cx="3161905" cy="4923809"/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44836" y="2816679"/>
          <a:ext cx="3161905" cy="4923809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45</xdr:row>
      <xdr:rowOff>0</xdr:rowOff>
    </xdr:from>
    <xdr:ext cx="9419048" cy="590476"/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76800" y="8572500"/>
          <a:ext cx="9419048" cy="590476"/>
        </a:xfrm>
        <a:prstGeom prst="rect">
          <a:avLst/>
        </a:prstGeom>
      </xdr:spPr>
    </xdr:pic>
    <xdr:clientData/>
  </xdr:oneCellAnchor>
  <xdr:oneCellAnchor>
    <xdr:from>
      <xdr:col>18</xdr:col>
      <xdr:colOff>0</xdr:colOff>
      <xdr:row>15</xdr:row>
      <xdr:rowOff>0</xdr:rowOff>
    </xdr:from>
    <xdr:ext cx="6028571" cy="2876190"/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972800" y="2857500"/>
          <a:ext cx="6028571" cy="2876190"/>
        </a:xfrm>
        <a:prstGeom prst="rect">
          <a:avLst/>
        </a:prstGeom>
      </xdr:spPr>
    </xdr:pic>
    <xdr:clientData/>
  </xdr:oneCellAnchor>
  <xdr:oneCellAnchor>
    <xdr:from>
      <xdr:col>18</xdr:col>
      <xdr:colOff>27214</xdr:colOff>
      <xdr:row>32</xdr:row>
      <xdr:rowOff>163285</xdr:rowOff>
    </xdr:from>
    <xdr:ext cx="6200000" cy="3095238"/>
    <xdr:pic>
      <xdr:nvPicPr>
        <xdr:cNvPr id="6" name="Рисунок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00014" y="6259285"/>
          <a:ext cx="6200000" cy="309523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>
    <tabColor rgb="FF92D050"/>
  </sheetPr>
  <dimension ref="A1:BC88"/>
  <sheetViews>
    <sheetView tabSelected="1" zoomScale="70" zoomScaleNormal="70" workbookViewId="0">
      <pane xSplit="2" ySplit="12" topLeftCell="C13" activePane="bottomRight" state="frozen"/>
      <selection pane="topRight" activeCell="D1" sqref="D1"/>
      <selection pane="bottomLeft" activeCell="A13" sqref="A13"/>
      <selection pane="bottomRight" activeCell="M3" sqref="M3"/>
    </sheetView>
  </sheetViews>
  <sheetFormatPr defaultRowHeight="14.25" x14ac:dyDescent="0.45"/>
  <cols>
    <col min="1" max="1" width="56.58203125" style="8" customWidth="1"/>
    <col min="2" max="2" width="13.58203125" style="8" customWidth="1"/>
    <col min="3" max="3" width="13.58203125" style="11" customWidth="1"/>
    <col min="4" max="4" width="17.25" style="8" customWidth="1"/>
    <col min="5" max="5" width="13.75" style="8" customWidth="1"/>
    <col min="6" max="6" width="14" style="8" hidden="1" customWidth="1"/>
    <col min="7" max="7" width="17.1640625" style="8" customWidth="1"/>
    <col min="8" max="8" width="14" style="8" customWidth="1"/>
    <col min="9" max="9" width="14" style="8" hidden="1" customWidth="1"/>
    <col min="10" max="10" width="11.75" style="8" customWidth="1"/>
    <col min="11" max="11" width="15.4140625" style="8" customWidth="1"/>
    <col min="12" max="12" width="15.4140625" style="8" hidden="1" customWidth="1"/>
    <col min="13" max="14" width="15.4140625" style="8" customWidth="1"/>
    <col min="15" max="26" width="15.4140625" style="8" hidden="1" customWidth="1"/>
    <col min="27" max="28" width="15.4140625" style="8" customWidth="1"/>
    <col min="29" max="29" width="15.25" customWidth="1"/>
    <col min="30" max="33" width="13.58203125" customWidth="1"/>
    <col min="34" max="35" width="13.58203125" hidden="1" customWidth="1"/>
    <col min="36" max="36" width="12" customWidth="1"/>
    <col min="37" max="37" width="14.25" customWidth="1"/>
    <col min="38" max="38" width="13.58203125" hidden="1" customWidth="1"/>
    <col min="39" max="39" width="13.58203125" customWidth="1"/>
    <col min="40" max="40" width="13.58203125" hidden="1" customWidth="1"/>
    <col min="41" max="41" width="13.58203125" customWidth="1"/>
    <col min="42" max="42" width="9.1640625" style="1"/>
    <col min="43" max="48" width="6.4140625" hidden="1" customWidth="1"/>
    <col min="49" max="49" width="9.75" hidden="1" customWidth="1"/>
    <col min="50" max="50" width="6.4140625" hidden="1" customWidth="1"/>
    <col min="51" max="53" width="7.4140625" hidden="1" customWidth="1"/>
    <col min="55" max="55" width="12.1640625" bestFit="1" customWidth="1"/>
  </cols>
  <sheetData>
    <row r="1" spans="1:55" x14ac:dyDescent="0.45">
      <c r="A1" s="6" t="s">
        <v>1</v>
      </c>
      <c r="B1" s="7">
        <v>46199</v>
      </c>
      <c r="C1" s="55"/>
      <c r="J1" s="11" t="s">
        <v>2</v>
      </c>
      <c r="S1" s="11"/>
      <c r="T1" s="11"/>
    </row>
    <row r="2" spans="1:55" x14ac:dyDescent="0.45">
      <c r="A2" s="53" t="s">
        <v>3</v>
      </c>
      <c r="B2" s="53">
        <v>75.634699999999995</v>
      </c>
      <c r="C2" s="54"/>
      <c r="E2" s="9"/>
    </row>
    <row r="3" spans="1:55" x14ac:dyDescent="0.45">
      <c r="A3" s="53" t="s">
        <v>4</v>
      </c>
      <c r="B3" s="53">
        <f>76.91+0.1</f>
        <v>77.009999999999991</v>
      </c>
      <c r="C3" s="54" t="s">
        <v>118</v>
      </c>
      <c r="J3" s="43" t="s">
        <v>54</v>
      </c>
      <c r="S3" s="11"/>
      <c r="T3" s="11"/>
    </row>
    <row r="4" spans="1:55" x14ac:dyDescent="0.45">
      <c r="A4" s="53" t="s">
        <v>5</v>
      </c>
      <c r="B4" s="53">
        <v>3.7699999999999997E-2</v>
      </c>
      <c r="C4" s="54"/>
    </row>
    <row r="5" spans="1:55" x14ac:dyDescent="0.45">
      <c r="A5" s="53" t="s">
        <v>49</v>
      </c>
      <c r="B5" s="53">
        <v>2.8228</v>
      </c>
      <c r="C5" s="54"/>
    </row>
    <row r="6" spans="1:55" x14ac:dyDescent="0.45">
      <c r="A6" s="53" t="s">
        <v>6</v>
      </c>
      <c r="B6" s="53">
        <v>74.875299999999996</v>
      </c>
      <c r="C6" s="54"/>
      <c r="K6" s="10"/>
    </row>
    <row r="7" spans="1:55" x14ac:dyDescent="0.45">
      <c r="A7" s="53" t="s">
        <v>7</v>
      </c>
      <c r="B7" s="53">
        <v>6.8032000000000004</v>
      </c>
      <c r="C7" s="54"/>
    </row>
    <row r="8" spans="1:55" x14ac:dyDescent="0.45">
      <c r="A8" s="53" t="s">
        <v>8</v>
      </c>
      <c r="B8" s="53">
        <v>0.41492000000000001</v>
      </c>
      <c r="C8" s="54"/>
      <c r="P8" s="8" t="e">
        <f>#REF!*N11</f>
        <v>#REF!</v>
      </c>
    </row>
    <row r="9" spans="1:55" x14ac:dyDescent="0.45">
      <c r="A9" s="53" t="s">
        <v>9</v>
      </c>
      <c r="B9" s="53">
        <f>6.8027*1.005</f>
        <v>6.8367134999999992</v>
      </c>
      <c r="C9" s="54" t="s">
        <v>71</v>
      </c>
      <c r="D9" s="11"/>
      <c r="E9" s="11" t="s">
        <v>10</v>
      </c>
      <c r="H9" s="12"/>
    </row>
    <row r="10" spans="1:55" x14ac:dyDescent="0.45">
      <c r="A10" s="8" t="s">
        <v>11</v>
      </c>
      <c r="E10" s="8">
        <v>7</v>
      </c>
      <c r="H10" s="8">
        <v>0</v>
      </c>
      <c r="K10" s="8">
        <v>0</v>
      </c>
      <c r="N10" s="8">
        <v>7</v>
      </c>
      <c r="Q10" s="8">
        <v>7</v>
      </c>
      <c r="T10" s="8">
        <v>7</v>
      </c>
      <c r="V10" s="8">
        <v>7</v>
      </c>
    </row>
    <row r="11" spans="1:55" ht="54.6" customHeight="1" x14ac:dyDescent="0.45">
      <c r="A11" s="13" t="s">
        <v>12</v>
      </c>
      <c r="D11" s="49"/>
      <c r="E11" s="14">
        <v>1.0149999999999999</v>
      </c>
      <c r="F11" s="14"/>
      <c r="G11" s="49"/>
      <c r="H11" s="14">
        <v>1.0049999999999999</v>
      </c>
      <c r="I11" s="14"/>
      <c r="J11" s="49" t="s">
        <v>119</v>
      </c>
      <c r="K11" s="14">
        <v>1.01</v>
      </c>
      <c r="L11" s="14"/>
      <c r="M11" s="49" t="s">
        <v>119</v>
      </c>
      <c r="N11" s="14">
        <v>1.0149999999999999</v>
      </c>
      <c r="O11" s="14"/>
      <c r="P11" s="50"/>
      <c r="Q11" s="15">
        <v>1.0125</v>
      </c>
      <c r="R11" s="14"/>
      <c r="S11" s="50"/>
      <c r="T11" s="14">
        <v>1.01</v>
      </c>
      <c r="U11" s="14"/>
      <c r="V11" s="14">
        <v>1.0049999999999999</v>
      </c>
      <c r="W11" s="14"/>
      <c r="X11" s="14"/>
      <c r="Y11" s="14"/>
      <c r="Z11" s="14"/>
      <c r="AA11" s="14"/>
      <c r="AB11" s="14"/>
      <c r="AQ11" s="16" t="s">
        <v>13</v>
      </c>
      <c r="AR11" s="17" t="s">
        <v>14</v>
      </c>
      <c r="AS11" s="18" t="s">
        <v>15</v>
      </c>
      <c r="AT11" s="19" t="s">
        <v>16</v>
      </c>
      <c r="AU11" s="20" t="s">
        <v>17</v>
      </c>
      <c r="AV11" s="21" t="s">
        <v>18</v>
      </c>
      <c r="AW11" s="22" t="s">
        <v>19</v>
      </c>
      <c r="AX11" s="3" t="s">
        <v>20</v>
      </c>
      <c r="AY11" s="23" t="s">
        <v>21</v>
      </c>
      <c r="AZ11" s="24" t="s">
        <v>22</v>
      </c>
      <c r="BA11" s="39" t="s">
        <v>51</v>
      </c>
    </row>
    <row r="12" spans="1:55" ht="72" customHeight="1" x14ac:dyDescent="0.3">
      <c r="A12" s="25" t="s">
        <v>0</v>
      </c>
      <c r="B12" s="25" t="s">
        <v>53</v>
      </c>
      <c r="C12" s="56" t="s">
        <v>93</v>
      </c>
      <c r="D12" s="25" t="s">
        <v>23</v>
      </c>
      <c r="E12" s="25" t="s">
        <v>56</v>
      </c>
      <c r="F12" s="2" t="s">
        <v>24</v>
      </c>
      <c r="G12" s="2" t="s">
        <v>101</v>
      </c>
      <c r="H12" s="2" t="s">
        <v>57</v>
      </c>
      <c r="I12" s="74" t="s">
        <v>25</v>
      </c>
      <c r="J12" s="74" t="s">
        <v>48</v>
      </c>
      <c r="K12" s="74" t="s">
        <v>58</v>
      </c>
      <c r="L12" s="25" t="s">
        <v>26</v>
      </c>
      <c r="M12" s="25" t="s">
        <v>27</v>
      </c>
      <c r="N12" s="25" t="s">
        <v>59</v>
      </c>
      <c r="O12" s="25" t="s">
        <v>28</v>
      </c>
      <c r="P12" s="25" t="s">
        <v>29</v>
      </c>
      <c r="Q12" s="25" t="s">
        <v>60</v>
      </c>
      <c r="R12" s="25" t="s">
        <v>30</v>
      </c>
      <c r="S12" s="25" t="s">
        <v>31</v>
      </c>
      <c r="T12" s="25" t="s">
        <v>61</v>
      </c>
      <c r="U12" s="25" t="s">
        <v>52</v>
      </c>
      <c r="V12" s="25" t="s">
        <v>62</v>
      </c>
      <c r="W12" s="25" t="s">
        <v>32</v>
      </c>
      <c r="X12" s="25" t="s">
        <v>33</v>
      </c>
      <c r="Y12" s="25" t="s">
        <v>34</v>
      </c>
      <c r="Z12" s="25" t="s">
        <v>35</v>
      </c>
      <c r="AA12" s="25" t="s">
        <v>68</v>
      </c>
      <c r="AB12" s="25" t="s">
        <v>70</v>
      </c>
      <c r="AC12" s="2" t="s">
        <v>36</v>
      </c>
      <c r="AD12" s="2" t="s">
        <v>37</v>
      </c>
      <c r="AE12" s="74" t="s">
        <v>38</v>
      </c>
      <c r="AF12" s="74" t="s">
        <v>39</v>
      </c>
      <c r="AG12" s="74" t="s">
        <v>40</v>
      </c>
      <c r="AH12" s="74" t="s">
        <v>41</v>
      </c>
      <c r="AI12" s="74" t="s">
        <v>42</v>
      </c>
      <c r="AJ12" s="74" t="s">
        <v>47</v>
      </c>
      <c r="AK12" s="74" t="s">
        <v>55</v>
      </c>
      <c r="AL12" s="74" t="s">
        <v>43</v>
      </c>
      <c r="AM12" s="74" t="s">
        <v>94</v>
      </c>
      <c r="AN12" s="74" t="s">
        <v>44</v>
      </c>
      <c r="AO12" s="74" t="s">
        <v>95</v>
      </c>
      <c r="AP12" s="44"/>
      <c r="AQ12" s="112" t="s">
        <v>45</v>
      </c>
      <c r="AR12" s="112"/>
      <c r="AS12" s="112"/>
      <c r="AT12" s="112"/>
      <c r="AU12" s="112"/>
      <c r="AV12" s="112"/>
      <c r="AW12" s="112"/>
      <c r="AX12" s="112"/>
      <c r="AY12" s="112"/>
      <c r="AZ12" s="112"/>
      <c r="BA12" s="112"/>
    </row>
    <row r="13" spans="1:55" x14ac:dyDescent="0.45">
      <c r="A13" s="40" t="s">
        <v>72</v>
      </c>
      <c r="B13" s="97">
        <v>100</v>
      </c>
      <c r="C13" s="98" t="s">
        <v>13</v>
      </c>
      <c r="D13" s="29">
        <v>584</v>
      </c>
      <c r="E13" s="27">
        <f t="shared" ref="E13:E51" si="0">(D13*$E$11+$E$10)*$B$3*$B$4*1.24</f>
        <v>2159.1740727647993</v>
      </c>
      <c r="F13" s="99"/>
      <c r="G13" s="29" t="s">
        <v>105</v>
      </c>
      <c r="H13" s="48">
        <f t="shared" ref="H13:H51" si="1">G13*$H$11*$B$9*$B$8*1.24</f>
        <v>2110.4439766540027</v>
      </c>
      <c r="I13" s="99"/>
      <c r="J13" s="29">
        <v>599</v>
      </c>
      <c r="K13" s="27">
        <f t="shared" ref="K13:K51" si="2">J13*$K$11*$B$6*$B$4*1.24</f>
        <v>2117.6286645567561</v>
      </c>
      <c r="L13" s="28"/>
      <c r="M13" s="29">
        <v>585</v>
      </c>
      <c r="N13" s="27">
        <f t="shared" ref="N13:N51" si="3">(M13*$N$11+$N$10)*$B$3*$B$4*1.24</f>
        <v>2162.8281371969993</v>
      </c>
      <c r="O13" s="27"/>
      <c r="P13" s="29"/>
      <c r="Q13" s="27">
        <f t="shared" ref="Q13:Q51" si="4">(P13*$Q$11+$Q$10)*$B$2*$B$4*1.24</f>
        <v>24.750396689199999</v>
      </c>
      <c r="R13" s="27"/>
      <c r="S13" s="29"/>
      <c r="T13" s="27">
        <f t="shared" ref="T13:T51" si="5">(S13*$T$11+$T$10)*$B$2*$B$4*1.24</f>
        <v>24.750396689199999</v>
      </c>
      <c r="U13" s="29" t="s">
        <v>50</v>
      </c>
      <c r="V13" s="27" t="e">
        <f t="shared" ref="V13:V51" si="6">(U13*$V$11+$V$10)*$B$2*$B$4*1.24</f>
        <v>#VALUE!</v>
      </c>
      <c r="W13" s="27"/>
      <c r="X13" s="27">
        <f t="shared" ref="X13:X51" si="7">W13*$B$5*1.2</f>
        <v>0</v>
      </c>
      <c r="Y13" s="99"/>
      <c r="Z13" s="27">
        <f>Y13*1.01*2.9275*1.235</f>
        <v>0</v>
      </c>
      <c r="AA13" s="27">
        <f>MIN(E13,H13,K13,N13)</f>
        <v>2110.4439766540027</v>
      </c>
      <c r="AB13" s="27">
        <f>MIN(E13,K13,N13)</f>
        <v>2117.6286645567561</v>
      </c>
      <c r="AC13" s="30">
        <v>2099</v>
      </c>
      <c r="AD13" s="100">
        <f t="shared" ref="AD13:AD48" si="8">(AC13-E13)/AC13</f>
        <v>-2.8667971779323176E-2</v>
      </c>
      <c r="AE13" s="73">
        <f t="shared" ref="AE13:AE48" si="9">(AC13-H13)/AC13</f>
        <v>-5.4521089347320884E-3</v>
      </c>
      <c r="AF13" s="73">
        <f t="shared" ref="AF13:AF48" si="10">(AC13-K13)/AC13</f>
        <v>-8.8750188455245932E-3</v>
      </c>
      <c r="AG13" s="73">
        <f t="shared" ref="AG13:AG48" si="11">(AC13-N13)/AC13</f>
        <v>-3.0408831442114936E-2</v>
      </c>
      <c r="AH13" s="31">
        <f t="shared" ref="AH13:AH48" si="12">(AC13-Q13)/AC13</f>
        <v>0.98820848180600285</v>
      </c>
      <c r="AI13" s="31">
        <f t="shared" ref="AI13:AI48" si="13">(AC13-T13)/AC13</f>
        <v>0.98820848180600285</v>
      </c>
      <c r="AJ13" s="31" t="e">
        <f t="shared" ref="AJ13:AJ48" si="14">(AC13-V13)/AC13</f>
        <v>#VALUE!</v>
      </c>
      <c r="AK13" s="31">
        <f t="shared" ref="AK13:AK48" si="15">(AC13-X13)/AC13</f>
        <v>1</v>
      </c>
      <c r="AL13" s="32"/>
      <c r="AM13" s="32"/>
      <c r="AN13" s="29"/>
      <c r="AO13" s="29"/>
      <c r="AP13" s="35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C13" s="51"/>
    </row>
    <row r="14" spans="1:55" x14ac:dyDescent="0.45">
      <c r="A14" s="40" t="s">
        <v>72</v>
      </c>
      <c r="B14" s="97">
        <v>100</v>
      </c>
      <c r="C14" s="98" t="s">
        <v>15</v>
      </c>
      <c r="D14" s="29">
        <v>584</v>
      </c>
      <c r="E14" s="27">
        <f t="shared" si="0"/>
        <v>2159.1740727647993</v>
      </c>
      <c r="F14" s="99"/>
      <c r="G14" s="29" t="s">
        <v>105</v>
      </c>
      <c r="H14" s="48">
        <f t="shared" si="1"/>
        <v>2110.4439766540027</v>
      </c>
      <c r="I14" s="99"/>
      <c r="J14" s="29">
        <v>599</v>
      </c>
      <c r="K14" s="27">
        <f t="shared" si="2"/>
        <v>2117.6286645567561</v>
      </c>
      <c r="L14" s="28"/>
      <c r="M14" s="29">
        <v>585</v>
      </c>
      <c r="N14" s="27">
        <f t="shared" si="3"/>
        <v>2162.8281371969993</v>
      </c>
      <c r="O14" s="27"/>
      <c r="P14" s="29"/>
      <c r="Q14" s="27">
        <f t="shared" si="4"/>
        <v>24.750396689199999</v>
      </c>
      <c r="R14" s="27"/>
      <c r="S14" s="29"/>
      <c r="T14" s="27">
        <f t="shared" si="5"/>
        <v>24.750396689199999</v>
      </c>
      <c r="U14" s="29" t="s">
        <v>50</v>
      </c>
      <c r="V14" s="27" t="e">
        <f t="shared" si="6"/>
        <v>#VALUE!</v>
      </c>
      <c r="W14" s="27"/>
      <c r="X14" s="27">
        <f t="shared" si="7"/>
        <v>0</v>
      </c>
      <c r="Y14" s="99"/>
      <c r="Z14" s="27">
        <f>Y14*1.01*2.9275*1.235</f>
        <v>0</v>
      </c>
      <c r="AA14" s="27">
        <f t="shared" ref="AA14:AA48" si="16">MIN(E14,H14,K14,N14)</f>
        <v>2110.4439766540027</v>
      </c>
      <c r="AB14" s="27">
        <f>MIN(E14,K14,N14)</f>
        <v>2117.6286645567561</v>
      </c>
      <c r="AC14" s="30">
        <v>2099</v>
      </c>
      <c r="AD14" s="100">
        <f t="shared" si="8"/>
        <v>-2.8667971779323176E-2</v>
      </c>
      <c r="AE14" s="73">
        <f t="shared" si="9"/>
        <v>-5.4521089347320884E-3</v>
      </c>
      <c r="AF14" s="73">
        <f t="shared" si="10"/>
        <v>-8.8750188455245932E-3</v>
      </c>
      <c r="AG14" s="73">
        <f t="shared" si="11"/>
        <v>-3.0408831442114936E-2</v>
      </c>
      <c r="AH14" s="31">
        <f t="shared" si="12"/>
        <v>0.98820848180600285</v>
      </c>
      <c r="AI14" s="31">
        <f t="shared" si="13"/>
        <v>0.98820848180600285</v>
      </c>
      <c r="AJ14" s="31" t="e">
        <f t="shared" si="14"/>
        <v>#VALUE!</v>
      </c>
      <c r="AK14" s="31">
        <f t="shared" si="15"/>
        <v>1</v>
      </c>
      <c r="AL14" s="32"/>
      <c r="AM14" s="32"/>
      <c r="AN14" s="29"/>
      <c r="AO14" s="29"/>
      <c r="AP14" s="35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C14" s="51"/>
    </row>
    <row r="15" spans="1:55" hidden="1" x14ac:dyDescent="0.45">
      <c r="A15" s="47" t="s">
        <v>63</v>
      </c>
      <c r="B15" s="97">
        <v>100</v>
      </c>
      <c r="C15" s="98" t="s">
        <v>13</v>
      </c>
      <c r="D15" s="29" t="s">
        <v>50</v>
      </c>
      <c r="E15" s="27" t="e">
        <f t="shared" si="0"/>
        <v>#VALUE!</v>
      </c>
      <c r="F15" s="99"/>
      <c r="G15" s="29" t="s">
        <v>50</v>
      </c>
      <c r="H15" s="27" t="e">
        <f t="shared" si="1"/>
        <v>#VALUE!</v>
      </c>
      <c r="I15" s="99"/>
      <c r="J15" s="29" t="s">
        <v>50</v>
      </c>
      <c r="K15" s="27" t="e">
        <f t="shared" si="2"/>
        <v>#VALUE!</v>
      </c>
      <c r="L15" s="28"/>
      <c r="M15" s="29" t="s">
        <v>50</v>
      </c>
      <c r="N15" s="27" t="e">
        <f t="shared" si="3"/>
        <v>#VALUE!</v>
      </c>
      <c r="O15" s="27"/>
      <c r="P15" s="29"/>
      <c r="Q15" s="27">
        <f t="shared" si="4"/>
        <v>24.750396689199999</v>
      </c>
      <c r="R15" s="27"/>
      <c r="S15" s="29"/>
      <c r="T15" s="27">
        <f t="shared" si="5"/>
        <v>24.750396689199999</v>
      </c>
      <c r="U15" s="29" t="s">
        <v>50</v>
      </c>
      <c r="V15" s="27" t="e">
        <f t="shared" si="6"/>
        <v>#VALUE!</v>
      </c>
      <c r="W15" s="27"/>
      <c r="X15" s="27">
        <f t="shared" si="7"/>
        <v>0</v>
      </c>
      <c r="Y15" s="99"/>
      <c r="Z15" s="27">
        <f>Y15*1.01*2.9275*1.235</f>
        <v>0</v>
      </c>
      <c r="AA15" s="27" t="e">
        <f t="shared" si="16"/>
        <v>#VALUE!</v>
      </c>
      <c r="AB15" s="27" t="e">
        <f>MIN(E15,N15,X15)</f>
        <v>#VALUE!</v>
      </c>
      <c r="AC15" s="30">
        <v>2699</v>
      </c>
      <c r="AD15" s="101" t="e">
        <f>(AC15-E15)/AC15</f>
        <v>#VALUE!</v>
      </c>
      <c r="AE15" s="72" t="e">
        <f>(AC15-H15)/AC15</f>
        <v>#VALUE!</v>
      </c>
      <c r="AF15" s="72" t="e">
        <f>(AC15-K15)/AC15</f>
        <v>#VALUE!</v>
      </c>
      <c r="AG15" s="31" t="e">
        <f t="shared" si="11"/>
        <v>#VALUE!</v>
      </c>
      <c r="AH15" s="72">
        <f>(AC15-Q15)/AC15</f>
        <v>0.99082979003734717</v>
      </c>
      <c r="AI15" s="72">
        <f>(AC15-T15)/AC15</f>
        <v>0.99082979003734717</v>
      </c>
      <c r="AJ15" s="31" t="e">
        <f t="shared" si="14"/>
        <v>#VALUE!</v>
      </c>
      <c r="AK15" s="31">
        <f t="shared" si="15"/>
        <v>1</v>
      </c>
      <c r="AL15" s="32"/>
      <c r="AM15" s="32"/>
      <c r="AN15" s="29"/>
      <c r="AO15" s="29"/>
      <c r="AP15" s="35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</row>
    <row r="16" spans="1:55" hidden="1" x14ac:dyDescent="0.45">
      <c r="A16" s="47" t="s">
        <v>63</v>
      </c>
      <c r="B16" s="102">
        <v>100</v>
      </c>
      <c r="C16" s="103" t="s">
        <v>15</v>
      </c>
      <c r="D16" s="29" t="s">
        <v>50</v>
      </c>
      <c r="E16" s="27" t="e">
        <f t="shared" si="0"/>
        <v>#VALUE!</v>
      </c>
      <c r="F16" s="99"/>
      <c r="G16" s="29" t="s">
        <v>50</v>
      </c>
      <c r="H16" s="27" t="e">
        <f t="shared" si="1"/>
        <v>#VALUE!</v>
      </c>
      <c r="I16" s="99"/>
      <c r="J16" s="29" t="s">
        <v>50</v>
      </c>
      <c r="K16" s="27" t="e">
        <f t="shared" si="2"/>
        <v>#VALUE!</v>
      </c>
      <c r="L16" s="28"/>
      <c r="M16" s="29" t="s">
        <v>50</v>
      </c>
      <c r="N16" s="27" t="e">
        <f t="shared" si="3"/>
        <v>#VALUE!</v>
      </c>
      <c r="O16" s="27"/>
      <c r="P16" s="29"/>
      <c r="Q16" s="27">
        <f t="shared" si="4"/>
        <v>24.750396689199999</v>
      </c>
      <c r="R16" s="27"/>
      <c r="S16" s="29"/>
      <c r="T16" s="27">
        <f t="shared" si="5"/>
        <v>24.750396689199999</v>
      </c>
      <c r="U16" s="29" t="s">
        <v>50</v>
      </c>
      <c r="V16" s="27" t="e">
        <f t="shared" si="6"/>
        <v>#VALUE!</v>
      </c>
      <c r="W16" s="27"/>
      <c r="X16" s="27">
        <f t="shared" si="7"/>
        <v>0</v>
      </c>
      <c r="Y16" s="99"/>
      <c r="Z16" s="27">
        <f>Y16*1.01*2.9275*1.235</f>
        <v>0</v>
      </c>
      <c r="AA16" s="27" t="e">
        <f t="shared" si="16"/>
        <v>#VALUE!</v>
      </c>
      <c r="AB16" s="27" t="e">
        <f>MIN(E16,N16,X16)</f>
        <v>#VALUE!</v>
      </c>
      <c r="AC16" s="30">
        <v>2699</v>
      </c>
      <c r="AD16" s="104" t="e">
        <f t="shared" si="8"/>
        <v>#VALUE!</v>
      </c>
      <c r="AE16" s="31" t="e">
        <f t="shared" si="9"/>
        <v>#VALUE!</v>
      </c>
      <c r="AF16" s="31" t="e">
        <f t="shared" si="10"/>
        <v>#VALUE!</v>
      </c>
      <c r="AG16" s="31" t="e">
        <f t="shared" si="11"/>
        <v>#VALUE!</v>
      </c>
      <c r="AH16" s="31">
        <f t="shared" si="12"/>
        <v>0.99082979003734717</v>
      </c>
      <c r="AI16" s="31">
        <f t="shared" si="13"/>
        <v>0.99082979003734717</v>
      </c>
      <c r="AJ16" s="31" t="e">
        <f t="shared" si="14"/>
        <v>#VALUE!</v>
      </c>
      <c r="AK16" s="31">
        <f t="shared" si="15"/>
        <v>1</v>
      </c>
      <c r="AL16" s="32"/>
      <c r="AM16" s="32"/>
      <c r="AN16" s="29"/>
      <c r="AO16" s="29"/>
      <c r="AP16" s="5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</row>
    <row r="17" spans="1:55" x14ac:dyDescent="0.45">
      <c r="A17" s="40" t="s">
        <v>73</v>
      </c>
      <c r="B17" s="102">
        <v>400</v>
      </c>
      <c r="C17" s="103" t="s">
        <v>13</v>
      </c>
      <c r="D17" s="29">
        <v>645</v>
      </c>
      <c r="E17" s="27">
        <f t="shared" si="0"/>
        <v>2382.0720031289993</v>
      </c>
      <c r="F17" s="99"/>
      <c r="G17" s="29">
        <v>648</v>
      </c>
      <c r="H17" s="27">
        <f t="shared" si="1"/>
        <v>2290.7331605892696</v>
      </c>
      <c r="I17" s="99"/>
      <c r="J17" s="29">
        <v>643</v>
      </c>
      <c r="K17" s="48">
        <f t="shared" si="2"/>
        <v>2273.1806866610914</v>
      </c>
      <c r="L17" s="28"/>
      <c r="M17" s="29">
        <v>625</v>
      </c>
      <c r="N17" s="27">
        <f t="shared" si="3"/>
        <v>2308.9907144849994</v>
      </c>
      <c r="O17" s="27"/>
      <c r="P17" s="29"/>
      <c r="Q17" s="27">
        <f t="shared" si="4"/>
        <v>24.750396689199999</v>
      </c>
      <c r="R17" s="27"/>
      <c r="S17" s="29"/>
      <c r="T17" s="27">
        <f t="shared" si="5"/>
        <v>24.750396689199999</v>
      </c>
      <c r="U17" s="29" t="s">
        <v>50</v>
      </c>
      <c r="V17" s="27" t="e">
        <f t="shared" si="6"/>
        <v>#VALUE!</v>
      </c>
      <c r="W17" s="27"/>
      <c r="X17" s="27">
        <f t="shared" si="7"/>
        <v>0</v>
      </c>
      <c r="Y17" s="99"/>
      <c r="Z17" s="27"/>
      <c r="AA17" s="27">
        <f t="shared" si="16"/>
        <v>2273.1806866610914</v>
      </c>
      <c r="AB17" s="27">
        <f>MIN(E17,H17,N17)</f>
        <v>2290.7331605892696</v>
      </c>
      <c r="AC17" s="30">
        <v>2599</v>
      </c>
      <c r="AD17" s="104">
        <f t="shared" si="8"/>
        <v>8.3465947237784027E-2</v>
      </c>
      <c r="AE17" s="31">
        <f t="shared" si="9"/>
        <v>0.11860978815341686</v>
      </c>
      <c r="AF17" s="31">
        <f t="shared" si="10"/>
        <v>0.12536333718311221</v>
      </c>
      <c r="AG17" s="31">
        <f t="shared" si="11"/>
        <v>0.11158495017891518</v>
      </c>
      <c r="AH17" s="31">
        <f t="shared" si="12"/>
        <v>0.99047695394797997</v>
      </c>
      <c r="AI17" s="31">
        <f t="shared" si="13"/>
        <v>0.99047695394797997</v>
      </c>
      <c r="AJ17" s="31" t="e">
        <f t="shared" si="14"/>
        <v>#VALUE!</v>
      </c>
      <c r="AK17" s="31">
        <f t="shared" si="15"/>
        <v>1</v>
      </c>
      <c r="AL17" s="32"/>
      <c r="AM17" s="32"/>
      <c r="AN17" s="29"/>
      <c r="AO17" s="29"/>
      <c r="AP17" s="35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C17" s="51"/>
    </row>
    <row r="18" spans="1:55" x14ac:dyDescent="0.45">
      <c r="A18" s="40" t="s">
        <v>73</v>
      </c>
      <c r="B18" s="102">
        <v>150</v>
      </c>
      <c r="C18" s="103" t="s">
        <v>17</v>
      </c>
      <c r="D18" s="29">
        <v>625</v>
      </c>
      <c r="E18" s="27">
        <f t="shared" si="0"/>
        <v>2308.9907144849994</v>
      </c>
      <c r="F18" s="99"/>
      <c r="G18" s="29">
        <v>648</v>
      </c>
      <c r="H18" s="27">
        <f t="shared" si="1"/>
        <v>2290.7331605892696</v>
      </c>
      <c r="I18" s="99"/>
      <c r="J18" s="29">
        <v>643</v>
      </c>
      <c r="K18" s="48">
        <f t="shared" si="2"/>
        <v>2273.1806866610914</v>
      </c>
      <c r="L18" s="28"/>
      <c r="M18" s="29" t="s">
        <v>50</v>
      </c>
      <c r="N18" s="27" t="e">
        <f t="shared" si="3"/>
        <v>#VALUE!</v>
      </c>
      <c r="O18" s="27"/>
      <c r="P18" s="29"/>
      <c r="Q18" s="27">
        <f t="shared" si="4"/>
        <v>24.750396689199999</v>
      </c>
      <c r="R18" s="27"/>
      <c r="S18" s="29"/>
      <c r="T18" s="27">
        <f t="shared" si="5"/>
        <v>24.750396689199999</v>
      </c>
      <c r="U18" s="29" t="s">
        <v>50</v>
      </c>
      <c r="V18" s="27" t="e">
        <f t="shared" si="6"/>
        <v>#VALUE!</v>
      </c>
      <c r="W18" s="27"/>
      <c r="X18" s="27">
        <f t="shared" si="7"/>
        <v>0</v>
      </c>
      <c r="Y18" s="99"/>
      <c r="Z18" s="27"/>
      <c r="AA18" s="27">
        <f>MIN(E18,H18,K18)</f>
        <v>2273.1806866610914</v>
      </c>
      <c r="AB18" s="27">
        <f>MIN(E18,H18)</f>
        <v>2290.7331605892696</v>
      </c>
      <c r="AC18" s="30">
        <v>2599</v>
      </c>
      <c r="AD18" s="104">
        <f t="shared" si="8"/>
        <v>0.11158495017891518</v>
      </c>
      <c r="AE18" s="31">
        <f t="shared" si="9"/>
        <v>0.11860978815341686</v>
      </c>
      <c r="AF18" s="31">
        <f t="shared" si="10"/>
        <v>0.12536333718311221</v>
      </c>
      <c r="AG18" s="31" t="e">
        <f t="shared" si="11"/>
        <v>#VALUE!</v>
      </c>
      <c r="AH18" s="31">
        <f t="shared" si="12"/>
        <v>0.99047695394797997</v>
      </c>
      <c r="AI18" s="31">
        <f t="shared" si="13"/>
        <v>0.99047695394797997</v>
      </c>
      <c r="AJ18" s="31" t="e">
        <f t="shared" si="14"/>
        <v>#VALUE!</v>
      </c>
      <c r="AK18" s="31">
        <f t="shared" si="15"/>
        <v>1</v>
      </c>
      <c r="AL18" s="32"/>
      <c r="AM18" s="32"/>
      <c r="AN18" s="29"/>
      <c r="AO18" s="29"/>
      <c r="AP18" s="35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C18" s="51"/>
    </row>
    <row r="19" spans="1:55" x14ac:dyDescent="0.45">
      <c r="A19" s="40" t="s">
        <v>73</v>
      </c>
      <c r="B19" s="102">
        <v>150</v>
      </c>
      <c r="C19" s="103" t="s">
        <v>81</v>
      </c>
      <c r="D19" s="29">
        <v>645</v>
      </c>
      <c r="E19" s="27">
        <f t="shared" si="0"/>
        <v>2382.0720031289993</v>
      </c>
      <c r="F19" s="99"/>
      <c r="G19" s="29">
        <v>637</v>
      </c>
      <c r="H19" s="48">
        <f t="shared" si="1"/>
        <v>2251.8472581718588</v>
      </c>
      <c r="I19" s="99"/>
      <c r="J19" s="29">
        <v>643</v>
      </c>
      <c r="K19" s="27">
        <f t="shared" si="2"/>
        <v>2273.1806866610914</v>
      </c>
      <c r="L19" s="28"/>
      <c r="M19" s="29" t="s">
        <v>50</v>
      </c>
      <c r="N19" s="27" t="e">
        <f t="shared" si="3"/>
        <v>#VALUE!</v>
      </c>
      <c r="O19" s="27"/>
      <c r="P19" s="29"/>
      <c r="Q19" s="27">
        <f t="shared" si="4"/>
        <v>24.750396689199999</v>
      </c>
      <c r="R19" s="27"/>
      <c r="S19" s="29"/>
      <c r="T19" s="27">
        <f t="shared" si="5"/>
        <v>24.750396689199999</v>
      </c>
      <c r="U19" s="46" t="s">
        <v>50</v>
      </c>
      <c r="V19" s="27" t="e">
        <f t="shared" si="6"/>
        <v>#VALUE!</v>
      </c>
      <c r="W19" s="27"/>
      <c r="X19" s="27">
        <f t="shared" si="7"/>
        <v>0</v>
      </c>
      <c r="Y19" s="99"/>
      <c r="Z19" s="27"/>
      <c r="AA19" s="27">
        <f>MIN(E19,H19,K19)</f>
        <v>2251.8472581718588</v>
      </c>
      <c r="AB19" s="27">
        <f>MIN(E19,K19)</f>
        <v>2273.1806866610914</v>
      </c>
      <c r="AC19" s="30">
        <v>2599</v>
      </c>
      <c r="AD19" s="104">
        <f t="shared" si="8"/>
        <v>8.3465947237784027E-2</v>
      </c>
      <c r="AE19" s="31">
        <f t="shared" si="9"/>
        <v>0.13357165903352874</v>
      </c>
      <c r="AF19" s="31">
        <f t="shared" si="10"/>
        <v>0.12536333718311221</v>
      </c>
      <c r="AG19" s="31" t="e">
        <f t="shared" si="11"/>
        <v>#VALUE!</v>
      </c>
      <c r="AH19" s="31">
        <f t="shared" si="12"/>
        <v>0.99047695394797997</v>
      </c>
      <c r="AI19" s="31">
        <f t="shared" si="13"/>
        <v>0.99047695394797997</v>
      </c>
      <c r="AJ19" s="31" t="e">
        <f t="shared" si="14"/>
        <v>#VALUE!</v>
      </c>
      <c r="AK19" s="31">
        <f t="shared" si="15"/>
        <v>1</v>
      </c>
      <c r="AL19" s="32"/>
      <c r="AM19" s="32"/>
      <c r="AN19" s="29"/>
      <c r="AO19" s="29"/>
      <c r="AP19" s="35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C19" s="51"/>
    </row>
    <row r="20" spans="1:55" x14ac:dyDescent="0.45">
      <c r="A20" s="40" t="s">
        <v>73</v>
      </c>
      <c r="B20" s="102">
        <v>100</v>
      </c>
      <c r="C20" s="103" t="s">
        <v>82</v>
      </c>
      <c r="D20" s="29">
        <v>645</v>
      </c>
      <c r="E20" s="27">
        <f t="shared" si="0"/>
        <v>2382.0720031289993</v>
      </c>
      <c r="F20" s="99"/>
      <c r="G20" s="29">
        <v>646</v>
      </c>
      <c r="H20" s="27">
        <f t="shared" si="1"/>
        <v>2283.6629965133766</v>
      </c>
      <c r="I20" s="99"/>
      <c r="J20" s="29">
        <v>643</v>
      </c>
      <c r="K20" s="48">
        <f t="shared" si="2"/>
        <v>2273.1806866610914</v>
      </c>
      <c r="L20" s="28"/>
      <c r="M20" s="29" t="s">
        <v>50</v>
      </c>
      <c r="N20" s="27" t="e">
        <f t="shared" si="3"/>
        <v>#VALUE!</v>
      </c>
      <c r="O20" s="27"/>
      <c r="P20" s="29"/>
      <c r="Q20" s="27">
        <f t="shared" si="4"/>
        <v>24.750396689199999</v>
      </c>
      <c r="R20" s="27"/>
      <c r="S20" s="29"/>
      <c r="T20" s="27">
        <f t="shared" si="5"/>
        <v>24.750396689199999</v>
      </c>
      <c r="U20" s="29" t="s">
        <v>50</v>
      </c>
      <c r="V20" s="27" t="e">
        <f t="shared" si="6"/>
        <v>#VALUE!</v>
      </c>
      <c r="W20" s="27"/>
      <c r="X20" s="27">
        <f t="shared" si="7"/>
        <v>0</v>
      </c>
      <c r="Y20" s="99"/>
      <c r="Z20" s="27"/>
      <c r="AA20" s="27">
        <f>MIN(E20,H20,K20)</f>
        <v>2273.1806866610914</v>
      </c>
      <c r="AB20" s="27">
        <f>MIN(E20,H20)</f>
        <v>2283.6629965133766</v>
      </c>
      <c r="AC20" s="30">
        <v>2599</v>
      </c>
      <c r="AD20" s="104">
        <f t="shared" si="8"/>
        <v>8.3465947237784027E-2</v>
      </c>
      <c r="AE20" s="31">
        <f t="shared" si="9"/>
        <v>0.12133012831343726</v>
      </c>
      <c r="AF20" s="31">
        <f t="shared" si="10"/>
        <v>0.12536333718311221</v>
      </c>
      <c r="AG20" s="31" t="e">
        <f t="shared" si="11"/>
        <v>#VALUE!</v>
      </c>
      <c r="AH20" s="31">
        <f t="shared" si="12"/>
        <v>0.99047695394797997</v>
      </c>
      <c r="AI20" s="31">
        <f t="shared" si="13"/>
        <v>0.99047695394797997</v>
      </c>
      <c r="AJ20" s="31" t="e">
        <f t="shared" si="14"/>
        <v>#VALUE!</v>
      </c>
      <c r="AK20" s="31">
        <f t="shared" si="15"/>
        <v>1</v>
      </c>
      <c r="AL20" s="32"/>
      <c r="AM20" s="32"/>
      <c r="AN20" s="29"/>
      <c r="AO20" s="29"/>
      <c r="AP20" s="35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C20" s="51"/>
    </row>
    <row r="21" spans="1:55" x14ac:dyDescent="0.45">
      <c r="A21" s="40" t="s">
        <v>73</v>
      </c>
      <c r="B21" s="102">
        <v>300</v>
      </c>
      <c r="C21" s="103" t="s">
        <v>20</v>
      </c>
      <c r="D21" s="29">
        <v>645</v>
      </c>
      <c r="E21" s="27">
        <f t="shared" si="0"/>
        <v>2382.0720031289993</v>
      </c>
      <c r="F21" s="99"/>
      <c r="G21" s="29">
        <v>648</v>
      </c>
      <c r="H21" s="27">
        <f t="shared" si="1"/>
        <v>2290.7331605892696</v>
      </c>
      <c r="I21" s="99"/>
      <c r="J21" s="29">
        <v>643</v>
      </c>
      <c r="K21" s="48">
        <f t="shared" si="2"/>
        <v>2273.1806866610914</v>
      </c>
      <c r="L21" s="28"/>
      <c r="M21" s="29">
        <v>625</v>
      </c>
      <c r="N21" s="27">
        <f t="shared" si="3"/>
        <v>2308.9907144849994</v>
      </c>
      <c r="O21" s="27"/>
      <c r="P21" s="29"/>
      <c r="Q21" s="27">
        <f t="shared" si="4"/>
        <v>24.750396689199999</v>
      </c>
      <c r="R21" s="27"/>
      <c r="S21" s="29"/>
      <c r="T21" s="27">
        <f t="shared" si="5"/>
        <v>24.750396689199999</v>
      </c>
      <c r="U21" s="29" t="s">
        <v>50</v>
      </c>
      <c r="V21" s="27" t="e">
        <f t="shared" si="6"/>
        <v>#VALUE!</v>
      </c>
      <c r="W21" s="27"/>
      <c r="X21" s="27">
        <f t="shared" si="7"/>
        <v>0</v>
      </c>
      <c r="Y21" s="99"/>
      <c r="Z21" s="27"/>
      <c r="AA21" s="27">
        <f t="shared" si="16"/>
        <v>2273.1806866610914</v>
      </c>
      <c r="AB21" s="27">
        <f>MIN(E21,H21,N21)</f>
        <v>2290.7331605892696</v>
      </c>
      <c r="AC21" s="30">
        <v>2599</v>
      </c>
      <c r="AD21" s="104">
        <f t="shared" si="8"/>
        <v>8.3465947237784027E-2</v>
      </c>
      <c r="AE21" s="31">
        <f t="shared" si="9"/>
        <v>0.11860978815341686</v>
      </c>
      <c r="AF21" s="31">
        <f t="shared" si="10"/>
        <v>0.12536333718311221</v>
      </c>
      <c r="AG21" s="31">
        <f t="shared" si="11"/>
        <v>0.11158495017891518</v>
      </c>
      <c r="AH21" s="31">
        <f t="shared" si="12"/>
        <v>0.99047695394797997</v>
      </c>
      <c r="AI21" s="31">
        <f t="shared" si="13"/>
        <v>0.99047695394797997</v>
      </c>
      <c r="AJ21" s="31" t="e">
        <f t="shared" si="14"/>
        <v>#VALUE!</v>
      </c>
      <c r="AK21" s="31">
        <f t="shared" si="15"/>
        <v>1</v>
      </c>
      <c r="AL21" s="32"/>
      <c r="AM21" s="32"/>
      <c r="AN21" s="29"/>
      <c r="AO21" s="29"/>
      <c r="AP21" s="35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C21" s="51"/>
    </row>
    <row r="22" spans="1:55" hidden="1" x14ac:dyDescent="0.45">
      <c r="A22" s="47" t="s">
        <v>64</v>
      </c>
      <c r="B22" s="97">
        <v>50</v>
      </c>
      <c r="C22" s="98" t="s">
        <v>13</v>
      </c>
      <c r="D22" s="29" t="s">
        <v>50</v>
      </c>
      <c r="E22" s="27" t="e">
        <f t="shared" si="0"/>
        <v>#VALUE!</v>
      </c>
      <c r="F22" s="99"/>
      <c r="G22" s="29" t="s">
        <v>50</v>
      </c>
      <c r="H22" s="27" t="e">
        <f t="shared" si="1"/>
        <v>#VALUE!</v>
      </c>
      <c r="I22" s="99"/>
      <c r="J22" s="29" t="s">
        <v>50</v>
      </c>
      <c r="K22" s="27" t="e">
        <f t="shared" si="2"/>
        <v>#VALUE!</v>
      </c>
      <c r="L22" s="28"/>
      <c r="M22" s="29" t="s">
        <v>50</v>
      </c>
      <c r="N22" s="27" t="e">
        <f t="shared" si="3"/>
        <v>#VALUE!</v>
      </c>
      <c r="O22" s="27"/>
      <c r="P22" s="29"/>
      <c r="Q22" s="27">
        <f t="shared" si="4"/>
        <v>24.750396689199999</v>
      </c>
      <c r="R22" s="27"/>
      <c r="S22" s="29"/>
      <c r="T22" s="27">
        <f t="shared" si="5"/>
        <v>24.750396689199999</v>
      </c>
      <c r="U22" s="29" t="s">
        <v>50</v>
      </c>
      <c r="V22" s="27" t="e">
        <f t="shared" si="6"/>
        <v>#VALUE!</v>
      </c>
      <c r="W22" s="27"/>
      <c r="X22" s="27">
        <f t="shared" si="7"/>
        <v>0</v>
      </c>
      <c r="Y22" s="99"/>
      <c r="Z22" s="27">
        <f>Y22*1.01*2.9275*1.235</f>
        <v>0</v>
      </c>
      <c r="AA22" s="27" t="e">
        <f t="shared" si="16"/>
        <v>#VALUE!</v>
      </c>
      <c r="AB22" s="27" t="e">
        <f>MIN(E22,N22,X22)</f>
        <v>#VALUE!</v>
      </c>
      <c r="AC22" s="30">
        <v>2899</v>
      </c>
      <c r="AD22" s="104" t="e">
        <f t="shared" si="8"/>
        <v>#VALUE!</v>
      </c>
      <c r="AE22" s="31" t="e">
        <f t="shared" si="9"/>
        <v>#VALUE!</v>
      </c>
      <c r="AF22" s="31" t="e">
        <f t="shared" si="10"/>
        <v>#VALUE!</v>
      </c>
      <c r="AG22" s="31" t="e">
        <f t="shared" si="11"/>
        <v>#VALUE!</v>
      </c>
      <c r="AH22" s="31">
        <f t="shared" si="12"/>
        <v>0.99146243646457399</v>
      </c>
      <c r="AI22" s="31">
        <f t="shared" si="13"/>
        <v>0.99146243646457399</v>
      </c>
      <c r="AJ22" s="31" t="e">
        <f t="shared" si="14"/>
        <v>#VALUE!</v>
      </c>
      <c r="AK22" s="31">
        <f t="shared" si="15"/>
        <v>1</v>
      </c>
      <c r="AL22" s="32"/>
      <c r="AM22" s="32"/>
      <c r="AN22" s="29"/>
      <c r="AO22" s="29"/>
      <c r="AP22" s="35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C22" s="51"/>
    </row>
    <row r="23" spans="1:55" hidden="1" x14ac:dyDescent="0.45">
      <c r="A23" s="47" t="s">
        <v>64</v>
      </c>
      <c r="B23" s="97">
        <v>30</v>
      </c>
      <c r="C23" s="98" t="s">
        <v>17</v>
      </c>
      <c r="D23" s="29" t="s">
        <v>50</v>
      </c>
      <c r="E23" s="27" t="e">
        <f t="shared" si="0"/>
        <v>#VALUE!</v>
      </c>
      <c r="F23" s="99"/>
      <c r="G23" s="29" t="s">
        <v>50</v>
      </c>
      <c r="H23" s="27" t="e">
        <f t="shared" si="1"/>
        <v>#VALUE!</v>
      </c>
      <c r="I23" s="99"/>
      <c r="J23" s="29" t="s">
        <v>50</v>
      </c>
      <c r="K23" s="27" t="e">
        <f t="shared" si="2"/>
        <v>#VALUE!</v>
      </c>
      <c r="L23" s="28"/>
      <c r="M23" s="29" t="s">
        <v>50</v>
      </c>
      <c r="N23" s="27" t="e">
        <f t="shared" si="3"/>
        <v>#VALUE!</v>
      </c>
      <c r="O23" s="27"/>
      <c r="P23" s="29"/>
      <c r="Q23" s="27">
        <f t="shared" si="4"/>
        <v>24.750396689199999</v>
      </c>
      <c r="R23" s="27"/>
      <c r="S23" s="29"/>
      <c r="T23" s="27">
        <f t="shared" si="5"/>
        <v>24.750396689199999</v>
      </c>
      <c r="U23" s="29" t="s">
        <v>50</v>
      </c>
      <c r="V23" s="27" t="e">
        <f t="shared" si="6"/>
        <v>#VALUE!</v>
      </c>
      <c r="W23" s="27"/>
      <c r="X23" s="27">
        <f t="shared" si="7"/>
        <v>0</v>
      </c>
      <c r="Y23" s="99"/>
      <c r="Z23" s="27">
        <f>Y23*1.01*2.9275*1.235</f>
        <v>0</v>
      </c>
      <c r="AA23" s="27" t="e">
        <f t="shared" si="16"/>
        <v>#VALUE!</v>
      </c>
      <c r="AB23" s="27" t="e">
        <f t="shared" ref="AB23:AB28" si="17">MIN(E23,N23,X23)</f>
        <v>#VALUE!</v>
      </c>
      <c r="AC23" s="30">
        <v>2899</v>
      </c>
      <c r="AD23" s="104" t="e">
        <f t="shared" si="8"/>
        <v>#VALUE!</v>
      </c>
      <c r="AE23" s="31" t="e">
        <f t="shared" si="9"/>
        <v>#VALUE!</v>
      </c>
      <c r="AF23" s="31" t="e">
        <f t="shared" si="10"/>
        <v>#VALUE!</v>
      </c>
      <c r="AG23" s="31" t="e">
        <f t="shared" si="11"/>
        <v>#VALUE!</v>
      </c>
      <c r="AH23" s="31">
        <f t="shared" si="12"/>
        <v>0.99146243646457399</v>
      </c>
      <c r="AI23" s="31">
        <f t="shared" si="13"/>
        <v>0.99146243646457399</v>
      </c>
      <c r="AJ23" s="31" t="e">
        <f t="shared" si="14"/>
        <v>#VALUE!</v>
      </c>
      <c r="AK23" s="31">
        <f t="shared" si="15"/>
        <v>1</v>
      </c>
      <c r="AL23" s="32"/>
      <c r="AM23" s="32"/>
      <c r="AN23" s="29"/>
      <c r="AO23" s="29"/>
      <c r="AP23" s="35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</row>
    <row r="24" spans="1:55" hidden="1" x14ac:dyDescent="0.45">
      <c r="A24" s="47" t="s">
        <v>64</v>
      </c>
      <c r="B24" s="97">
        <v>30</v>
      </c>
      <c r="C24" s="98" t="s">
        <v>81</v>
      </c>
      <c r="D24" s="29" t="s">
        <v>50</v>
      </c>
      <c r="E24" s="27" t="e">
        <f t="shared" si="0"/>
        <v>#VALUE!</v>
      </c>
      <c r="F24" s="99"/>
      <c r="G24" s="29" t="s">
        <v>50</v>
      </c>
      <c r="H24" s="27" t="e">
        <f t="shared" si="1"/>
        <v>#VALUE!</v>
      </c>
      <c r="I24" s="99"/>
      <c r="J24" s="29" t="s">
        <v>50</v>
      </c>
      <c r="K24" s="27" t="e">
        <f t="shared" si="2"/>
        <v>#VALUE!</v>
      </c>
      <c r="L24" s="28"/>
      <c r="M24" s="29" t="s">
        <v>50</v>
      </c>
      <c r="N24" s="27" t="e">
        <f t="shared" si="3"/>
        <v>#VALUE!</v>
      </c>
      <c r="O24" s="27"/>
      <c r="P24" s="29"/>
      <c r="Q24" s="27">
        <f t="shared" si="4"/>
        <v>24.750396689199999</v>
      </c>
      <c r="R24" s="27"/>
      <c r="S24" s="29"/>
      <c r="T24" s="27">
        <f t="shared" si="5"/>
        <v>24.750396689199999</v>
      </c>
      <c r="U24" s="29" t="s">
        <v>50</v>
      </c>
      <c r="V24" s="27" t="e">
        <f t="shared" si="6"/>
        <v>#VALUE!</v>
      </c>
      <c r="W24" s="27"/>
      <c r="X24" s="27">
        <f t="shared" si="7"/>
        <v>0</v>
      </c>
      <c r="Y24" s="99"/>
      <c r="Z24" s="27">
        <f>Y24*1.01*2.9275*1.235</f>
        <v>0</v>
      </c>
      <c r="AA24" s="27" t="e">
        <f t="shared" si="16"/>
        <v>#VALUE!</v>
      </c>
      <c r="AB24" s="27" t="e">
        <f t="shared" si="17"/>
        <v>#VALUE!</v>
      </c>
      <c r="AC24" s="30">
        <v>2899</v>
      </c>
      <c r="AD24" s="104" t="e">
        <f t="shared" si="8"/>
        <v>#VALUE!</v>
      </c>
      <c r="AE24" s="31" t="e">
        <f t="shared" si="9"/>
        <v>#VALUE!</v>
      </c>
      <c r="AF24" s="31" t="e">
        <f t="shared" si="10"/>
        <v>#VALUE!</v>
      </c>
      <c r="AG24" s="31" t="e">
        <f t="shared" si="11"/>
        <v>#VALUE!</v>
      </c>
      <c r="AH24" s="31">
        <f t="shared" si="12"/>
        <v>0.99146243646457399</v>
      </c>
      <c r="AI24" s="31">
        <f t="shared" si="13"/>
        <v>0.99146243646457399</v>
      </c>
      <c r="AJ24" s="31" t="e">
        <f t="shared" si="14"/>
        <v>#VALUE!</v>
      </c>
      <c r="AK24" s="31">
        <f t="shared" si="15"/>
        <v>1</v>
      </c>
      <c r="AL24" s="32"/>
      <c r="AM24" s="32"/>
      <c r="AN24" s="29"/>
      <c r="AO24" s="29"/>
      <c r="AP24" s="35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</row>
    <row r="25" spans="1:55" hidden="1" x14ac:dyDescent="0.45">
      <c r="A25" s="47" t="s">
        <v>64</v>
      </c>
      <c r="B25" s="102">
        <v>30</v>
      </c>
      <c r="C25" s="103" t="s">
        <v>83</v>
      </c>
      <c r="D25" s="29" t="s">
        <v>50</v>
      </c>
      <c r="E25" s="27" t="e">
        <f t="shared" si="0"/>
        <v>#VALUE!</v>
      </c>
      <c r="F25" s="99"/>
      <c r="G25" s="29" t="s">
        <v>50</v>
      </c>
      <c r="H25" s="27" t="e">
        <f t="shared" si="1"/>
        <v>#VALUE!</v>
      </c>
      <c r="I25" s="99"/>
      <c r="J25" s="29" t="s">
        <v>50</v>
      </c>
      <c r="K25" s="27" t="e">
        <f t="shared" si="2"/>
        <v>#VALUE!</v>
      </c>
      <c r="L25" s="28"/>
      <c r="M25" s="29" t="s">
        <v>50</v>
      </c>
      <c r="N25" s="27" t="e">
        <f t="shared" si="3"/>
        <v>#VALUE!</v>
      </c>
      <c r="O25" s="27"/>
      <c r="P25" s="29"/>
      <c r="Q25" s="27">
        <f t="shared" si="4"/>
        <v>24.750396689199999</v>
      </c>
      <c r="R25" s="27"/>
      <c r="S25" s="29"/>
      <c r="T25" s="27">
        <f t="shared" si="5"/>
        <v>24.750396689199999</v>
      </c>
      <c r="U25" s="29" t="s">
        <v>50</v>
      </c>
      <c r="V25" s="27" t="e">
        <f t="shared" si="6"/>
        <v>#VALUE!</v>
      </c>
      <c r="W25" s="27"/>
      <c r="X25" s="27">
        <f t="shared" si="7"/>
        <v>0</v>
      </c>
      <c r="Y25" s="99"/>
      <c r="Z25" s="27">
        <f>Y25*1.01*2.9275*1.235</f>
        <v>0</v>
      </c>
      <c r="AA25" s="27" t="e">
        <f t="shared" si="16"/>
        <v>#VALUE!</v>
      </c>
      <c r="AB25" s="27" t="e">
        <f t="shared" si="17"/>
        <v>#VALUE!</v>
      </c>
      <c r="AC25" s="30">
        <v>2899</v>
      </c>
      <c r="AD25" s="104" t="e">
        <f t="shared" si="8"/>
        <v>#VALUE!</v>
      </c>
      <c r="AE25" s="31" t="e">
        <f t="shared" si="9"/>
        <v>#VALUE!</v>
      </c>
      <c r="AF25" s="31" t="e">
        <f t="shared" si="10"/>
        <v>#VALUE!</v>
      </c>
      <c r="AG25" s="31" t="e">
        <f t="shared" si="11"/>
        <v>#VALUE!</v>
      </c>
      <c r="AH25" s="31">
        <f t="shared" si="12"/>
        <v>0.99146243646457399</v>
      </c>
      <c r="AI25" s="31">
        <f t="shared" si="13"/>
        <v>0.99146243646457399</v>
      </c>
      <c r="AJ25" s="31" t="e">
        <f t="shared" si="14"/>
        <v>#VALUE!</v>
      </c>
      <c r="AK25" s="31">
        <f t="shared" si="15"/>
        <v>1</v>
      </c>
      <c r="AL25" s="32"/>
      <c r="AM25" s="32"/>
      <c r="AN25" s="29"/>
      <c r="AO25" s="29"/>
      <c r="AP25" s="5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</row>
    <row r="26" spans="1:55" hidden="1" x14ac:dyDescent="0.45">
      <c r="A26" s="47" t="s">
        <v>64</v>
      </c>
      <c r="B26" s="102">
        <v>50</v>
      </c>
      <c r="C26" s="103" t="s">
        <v>20</v>
      </c>
      <c r="D26" s="29" t="s">
        <v>50</v>
      </c>
      <c r="E26" s="27" t="e">
        <f t="shared" si="0"/>
        <v>#VALUE!</v>
      </c>
      <c r="F26" s="99"/>
      <c r="G26" s="29" t="s">
        <v>50</v>
      </c>
      <c r="H26" s="27" t="e">
        <f t="shared" si="1"/>
        <v>#VALUE!</v>
      </c>
      <c r="I26" s="99"/>
      <c r="J26" s="29" t="s">
        <v>50</v>
      </c>
      <c r="K26" s="27" t="e">
        <f t="shared" si="2"/>
        <v>#VALUE!</v>
      </c>
      <c r="L26" s="28"/>
      <c r="M26" s="29" t="s">
        <v>50</v>
      </c>
      <c r="N26" s="27" t="e">
        <f t="shared" si="3"/>
        <v>#VALUE!</v>
      </c>
      <c r="O26" s="27"/>
      <c r="P26" s="29"/>
      <c r="Q26" s="27">
        <f t="shared" si="4"/>
        <v>24.750396689199999</v>
      </c>
      <c r="R26" s="27"/>
      <c r="S26" s="29"/>
      <c r="T26" s="27">
        <f t="shared" si="5"/>
        <v>24.750396689199999</v>
      </c>
      <c r="U26" s="29" t="s">
        <v>50</v>
      </c>
      <c r="V26" s="27" t="e">
        <f t="shared" si="6"/>
        <v>#VALUE!</v>
      </c>
      <c r="W26" s="27"/>
      <c r="X26" s="27">
        <f t="shared" si="7"/>
        <v>0</v>
      </c>
      <c r="Y26" s="99"/>
      <c r="Z26" s="27"/>
      <c r="AA26" s="27" t="e">
        <f t="shared" si="16"/>
        <v>#VALUE!</v>
      </c>
      <c r="AB26" s="27" t="e">
        <f t="shared" si="17"/>
        <v>#VALUE!</v>
      </c>
      <c r="AC26" s="30">
        <v>2899</v>
      </c>
      <c r="AD26" s="104" t="e">
        <f t="shared" si="8"/>
        <v>#VALUE!</v>
      </c>
      <c r="AE26" s="31" t="e">
        <f t="shared" si="9"/>
        <v>#VALUE!</v>
      </c>
      <c r="AF26" s="31" t="e">
        <f t="shared" si="10"/>
        <v>#VALUE!</v>
      </c>
      <c r="AG26" s="31" t="e">
        <f t="shared" si="11"/>
        <v>#VALUE!</v>
      </c>
      <c r="AH26" s="31">
        <f t="shared" si="12"/>
        <v>0.99146243646457399</v>
      </c>
      <c r="AI26" s="31">
        <f t="shared" si="13"/>
        <v>0.99146243646457399</v>
      </c>
      <c r="AJ26" s="31" t="e">
        <f t="shared" si="14"/>
        <v>#VALUE!</v>
      </c>
      <c r="AK26" s="31">
        <f t="shared" si="15"/>
        <v>1</v>
      </c>
      <c r="AL26" s="32"/>
      <c r="AM26" s="32"/>
      <c r="AN26" s="29"/>
      <c r="AO26" s="29"/>
      <c r="AP26" s="35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C26" s="51"/>
    </row>
    <row r="27" spans="1:55" hidden="1" x14ac:dyDescent="0.45">
      <c r="A27" s="47" t="s">
        <v>74</v>
      </c>
      <c r="B27" s="102">
        <v>200</v>
      </c>
      <c r="C27" s="103" t="s">
        <v>84</v>
      </c>
      <c r="D27" s="29" t="s">
        <v>50</v>
      </c>
      <c r="E27" s="27" t="e">
        <f t="shared" si="0"/>
        <v>#VALUE!</v>
      </c>
      <c r="F27" s="99"/>
      <c r="G27" s="29" t="s">
        <v>50</v>
      </c>
      <c r="H27" s="27" t="e">
        <f t="shared" si="1"/>
        <v>#VALUE!</v>
      </c>
      <c r="I27" s="99"/>
      <c r="J27" s="29" t="s">
        <v>50</v>
      </c>
      <c r="K27" s="27" t="e">
        <f t="shared" si="2"/>
        <v>#VALUE!</v>
      </c>
      <c r="L27" s="28"/>
      <c r="M27" s="29" t="s">
        <v>50</v>
      </c>
      <c r="N27" s="27" t="e">
        <f t="shared" si="3"/>
        <v>#VALUE!</v>
      </c>
      <c r="O27" s="27"/>
      <c r="P27" s="29"/>
      <c r="Q27" s="27">
        <f t="shared" si="4"/>
        <v>24.750396689199999</v>
      </c>
      <c r="R27" s="27"/>
      <c r="S27" s="29"/>
      <c r="T27" s="27">
        <f t="shared" si="5"/>
        <v>24.750396689199999</v>
      </c>
      <c r="U27" s="29" t="s">
        <v>50</v>
      </c>
      <c r="V27" s="27" t="e">
        <f t="shared" si="6"/>
        <v>#VALUE!</v>
      </c>
      <c r="W27" s="27"/>
      <c r="X27" s="27">
        <f t="shared" si="7"/>
        <v>0</v>
      </c>
      <c r="Y27" s="99"/>
      <c r="Z27" s="27"/>
      <c r="AA27" s="27" t="e">
        <f t="shared" si="16"/>
        <v>#VALUE!</v>
      </c>
      <c r="AB27" s="27" t="e">
        <f t="shared" si="17"/>
        <v>#VALUE!</v>
      </c>
      <c r="AC27" s="30">
        <v>1899</v>
      </c>
      <c r="AD27" s="104" t="e">
        <f t="shared" si="8"/>
        <v>#VALUE!</v>
      </c>
      <c r="AE27" s="31" t="e">
        <f t="shared" si="9"/>
        <v>#VALUE!</v>
      </c>
      <c r="AF27" s="31" t="e">
        <f t="shared" si="10"/>
        <v>#VALUE!</v>
      </c>
      <c r="AG27" s="31" t="e">
        <f t="shared" si="11"/>
        <v>#VALUE!</v>
      </c>
      <c r="AH27" s="31">
        <f t="shared" si="12"/>
        <v>0.98696661575081623</v>
      </c>
      <c r="AI27" s="31">
        <f t="shared" si="13"/>
        <v>0.98696661575081623</v>
      </c>
      <c r="AJ27" s="31" t="e">
        <f t="shared" si="14"/>
        <v>#VALUE!</v>
      </c>
      <c r="AK27" s="31">
        <f t="shared" si="15"/>
        <v>1</v>
      </c>
      <c r="AL27" s="32"/>
      <c r="AM27" s="32"/>
      <c r="AN27" s="29"/>
      <c r="AO27" s="29"/>
      <c r="AP27" s="35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C27" s="51"/>
    </row>
    <row r="28" spans="1:55" hidden="1" x14ac:dyDescent="0.45">
      <c r="A28" s="47" t="s">
        <v>75</v>
      </c>
      <c r="B28" s="102">
        <v>150</v>
      </c>
      <c r="C28" s="103" t="s">
        <v>22</v>
      </c>
      <c r="D28" s="29" t="s">
        <v>50</v>
      </c>
      <c r="E28" s="27" t="e">
        <f t="shared" si="0"/>
        <v>#VALUE!</v>
      </c>
      <c r="F28" s="99"/>
      <c r="G28" s="29" t="s">
        <v>50</v>
      </c>
      <c r="H28" s="27" t="e">
        <f t="shared" si="1"/>
        <v>#VALUE!</v>
      </c>
      <c r="I28" s="99"/>
      <c r="J28" s="29" t="s">
        <v>50</v>
      </c>
      <c r="K28" s="27" t="e">
        <f t="shared" si="2"/>
        <v>#VALUE!</v>
      </c>
      <c r="L28" s="28"/>
      <c r="M28" s="29" t="s">
        <v>50</v>
      </c>
      <c r="N28" s="27" t="e">
        <f t="shared" si="3"/>
        <v>#VALUE!</v>
      </c>
      <c r="O28" s="27"/>
      <c r="P28" s="29"/>
      <c r="Q28" s="27">
        <f t="shared" si="4"/>
        <v>24.750396689199999</v>
      </c>
      <c r="R28" s="27"/>
      <c r="S28" s="29"/>
      <c r="T28" s="27">
        <f t="shared" si="5"/>
        <v>24.750396689199999</v>
      </c>
      <c r="U28" s="46" t="s">
        <v>50</v>
      </c>
      <c r="V28" s="27" t="e">
        <f t="shared" si="6"/>
        <v>#VALUE!</v>
      </c>
      <c r="W28" s="27"/>
      <c r="X28" s="27">
        <f t="shared" si="7"/>
        <v>0</v>
      </c>
      <c r="Y28" s="99"/>
      <c r="Z28" s="27"/>
      <c r="AA28" s="27" t="e">
        <f t="shared" si="16"/>
        <v>#VALUE!</v>
      </c>
      <c r="AB28" s="27" t="e">
        <f t="shared" si="17"/>
        <v>#VALUE!</v>
      </c>
      <c r="AC28" s="30">
        <v>3399</v>
      </c>
      <c r="AD28" s="104" t="e">
        <f t="shared" si="8"/>
        <v>#VALUE!</v>
      </c>
      <c r="AE28" s="31" t="e">
        <f t="shared" si="9"/>
        <v>#VALUE!</v>
      </c>
      <c r="AF28" s="31" t="e">
        <f t="shared" si="10"/>
        <v>#VALUE!</v>
      </c>
      <c r="AG28" s="31" t="e">
        <f t="shared" si="11"/>
        <v>#VALUE!</v>
      </c>
      <c r="AH28" s="31">
        <f t="shared" si="12"/>
        <v>0.99271832989432185</v>
      </c>
      <c r="AI28" s="31">
        <f t="shared" si="13"/>
        <v>0.99271832989432185</v>
      </c>
      <c r="AJ28" s="31" t="e">
        <f t="shared" si="14"/>
        <v>#VALUE!</v>
      </c>
      <c r="AK28" s="31">
        <f t="shared" si="15"/>
        <v>1</v>
      </c>
      <c r="AL28" s="32"/>
      <c r="AM28" s="32"/>
      <c r="AN28" s="29"/>
      <c r="AO28" s="29"/>
      <c r="AP28" s="35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C28" s="51"/>
    </row>
    <row r="29" spans="1:55" hidden="1" x14ac:dyDescent="0.45">
      <c r="A29" s="47" t="s">
        <v>75</v>
      </c>
      <c r="B29" s="102">
        <v>150</v>
      </c>
      <c r="C29" s="103" t="s">
        <v>21</v>
      </c>
      <c r="D29" s="29" t="s">
        <v>50</v>
      </c>
      <c r="E29" s="27" t="e">
        <f t="shared" si="0"/>
        <v>#VALUE!</v>
      </c>
      <c r="F29" s="99"/>
      <c r="G29" s="29" t="s">
        <v>50</v>
      </c>
      <c r="H29" s="27" t="e">
        <f t="shared" si="1"/>
        <v>#VALUE!</v>
      </c>
      <c r="I29" s="99"/>
      <c r="J29" s="29" t="s">
        <v>50</v>
      </c>
      <c r="K29" s="27" t="e">
        <f t="shared" si="2"/>
        <v>#VALUE!</v>
      </c>
      <c r="L29" s="28"/>
      <c r="M29" s="29" t="s">
        <v>50</v>
      </c>
      <c r="N29" s="27" t="e">
        <f t="shared" si="3"/>
        <v>#VALUE!</v>
      </c>
      <c r="O29" s="27"/>
      <c r="P29" s="29"/>
      <c r="Q29" s="27">
        <f t="shared" si="4"/>
        <v>24.750396689199999</v>
      </c>
      <c r="R29" s="27"/>
      <c r="S29" s="29"/>
      <c r="T29" s="27">
        <f t="shared" si="5"/>
        <v>24.750396689199999</v>
      </c>
      <c r="U29" s="29" t="s">
        <v>50</v>
      </c>
      <c r="V29" s="27" t="e">
        <f t="shared" si="6"/>
        <v>#VALUE!</v>
      </c>
      <c r="W29" s="27"/>
      <c r="X29" s="27">
        <f t="shared" si="7"/>
        <v>0</v>
      </c>
      <c r="Y29" s="99"/>
      <c r="Z29" s="27"/>
      <c r="AA29" s="27" t="e">
        <f t="shared" si="16"/>
        <v>#VALUE!</v>
      </c>
      <c r="AB29" s="27" t="e">
        <f>MIN(E29,N29,X29,Q29)</f>
        <v>#VALUE!</v>
      </c>
      <c r="AC29" s="30">
        <v>3399</v>
      </c>
      <c r="AD29" s="104" t="e">
        <f t="shared" si="8"/>
        <v>#VALUE!</v>
      </c>
      <c r="AE29" s="31" t="e">
        <f t="shared" si="9"/>
        <v>#VALUE!</v>
      </c>
      <c r="AF29" s="31" t="e">
        <f t="shared" si="10"/>
        <v>#VALUE!</v>
      </c>
      <c r="AG29" s="31" t="e">
        <f t="shared" si="11"/>
        <v>#VALUE!</v>
      </c>
      <c r="AH29" s="31">
        <f t="shared" si="12"/>
        <v>0.99271832989432185</v>
      </c>
      <c r="AI29" s="31">
        <f t="shared" si="13"/>
        <v>0.99271832989432185</v>
      </c>
      <c r="AJ29" s="31" t="e">
        <f t="shared" si="14"/>
        <v>#VALUE!</v>
      </c>
      <c r="AK29" s="31">
        <f t="shared" si="15"/>
        <v>1</v>
      </c>
      <c r="AL29" s="32"/>
      <c r="AM29" s="32"/>
      <c r="AN29" s="29"/>
      <c r="AO29" s="29"/>
      <c r="AP29" s="35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C29" s="51"/>
    </row>
    <row r="30" spans="1:55" x14ac:dyDescent="0.45">
      <c r="A30" s="40" t="s">
        <v>75</v>
      </c>
      <c r="B30" s="102">
        <v>100</v>
      </c>
      <c r="C30" s="103" t="s">
        <v>20</v>
      </c>
      <c r="D30" s="29">
        <v>838</v>
      </c>
      <c r="E30" s="27">
        <f t="shared" si="0"/>
        <v>3087.3064385435991</v>
      </c>
      <c r="F30" s="99"/>
      <c r="G30" s="29">
        <v>863</v>
      </c>
      <c r="H30" s="48">
        <f t="shared" si="1"/>
        <v>3050.7757987477462</v>
      </c>
      <c r="I30" s="99"/>
      <c r="J30" s="29" t="s">
        <v>50</v>
      </c>
      <c r="K30" s="27" t="e">
        <f t="shared" si="2"/>
        <v>#VALUE!</v>
      </c>
      <c r="L30" s="28"/>
      <c r="M30" s="29" t="s">
        <v>50</v>
      </c>
      <c r="N30" s="27" t="e">
        <f t="shared" si="3"/>
        <v>#VALUE!</v>
      </c>
      <c r="O30" s="27"/>
      <c r="P30" s="29"/>
      <c r="Q30" s="27">
        <f t="shared" si="4"/>
        <v>24.750396689199999</v>
      </c>
      <c r="R30" s="27"/>
      <c r="S30" s="29"/>
      <c r="T30" s="27">
        <f t="shared" si="5"/>
        <v>24.750396689199999</v>
      </c>
      <c r="U30" s="29" t="s">
        <v>50</v>
      </c>
      <c r="V30" s="27" t="e">
        <f t="shared" si="6"/>
        <v>#VALUE!</v>
      </c>
      <c r="W30" s="27"/>
      <c r="X30" s="27">
        <f t="shared" si="7"/>
        <v>0</v>
      </c>
      <c r="Y30" s="99"/>
      <c r="Z30" s="27"/>
      <c r="AA30" s="27">
        <f>MIN(E30,H30)</f>
        <v>3050.7757987477462</v>
      </c>
      <c r="AB30" s="27">
        <f>MIN(E30)</f>
        <v>3087.3064385435991</v>
      </c>
      <c r="AC30" s="30">
        <v>3399</v>
      </c>
      <c r="AD30" s="104">
        <f t="shared" si="8"/>
        <v>9.1701547942453915E-2</v>
      </c>
      <c r="AE30" s="31">
        <f t="shared" si="9"/>
        <v>0.102449014784423</v>
      </c>
      <c r="AF30" s="31" t="e">
        <f t="shared" si="10"/>
        <v>#VALUE!</v>
      </c>
      <c r="AG30" s="31" t="e">
        <f t="shared" si="11"/>
        <v>#VALUE!</v>
      </c>
      <c r="AH30" s="31">
        <f t="shared" si="12"/>
        <v>0.99271832989432185</v>
      </c>
      <c r="AI30" s="31">
        <f t="shared" si="13"/>
        <v>0.99271832989432185</v>
      </c>
      <c r="AJ30" s="31" t="e">
        <f t="shared" si="14"/>
        <v>#VALUE!</v>
      </c>
      <c r="AK30" s="31">
        <f t="shared" si="15"/>
        <v>1</v>
      </c>
      <c r="AL30" s="32"/>
      <c r="AM30" s="32"/>
      <c r="AN30" s="29"/>
      <c r="AO30" s="29"/>
      <c r="AP30" s="35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C30" s="51"/>
    </row>
    <row r="31" spans="1:55" x14ac:dyDescent="0.45">
      <c r="A31" s="40" t="s">
        <v>76</v>
      </c>
      <c r="B31" s="97">
        <v>200</v>
      </c>
      <c r="C31" s="98" t="s">
        <v>85</v>
      </c>
      <c r="D31" s="29">
        <v>1062</v>
      </c>
      <c r="E31" s="27">
        <f t="shared" si="0"/>
        <v>3905.8168713563982</v>
      </c>
      <c r="F31" s="99"/>
      <c r="G31" s="29">
        <v>1076</v>
      </c>
      <c r="H31" s="27">
        <f t="shared" si="1"/>
        <v>3803.7482728303303</v>
      </c>
      <c r="I31" s="99"/>
      <c r="J31" s="29">
        <v>1070</v>
      </c>
      <c r="K31" s="48">
        <f t="shared" si="2"/>
        <v>3782.7423557190796</v>
      </c>
      <c r="L31" s="28"/>
      <c r="M31" s="29" t="s">
        <v>50</v>
      </c>
      <c r="N31" s="27" t="e">
        <f t="shared" si="3"/>
        <v>#VALUE!</v>
      </c>
      <c r="O31" s="27"/>
      <c r="P31" s="29"/>
      <c r="Q31" s="27">
        <f t="shared" si="4"/>
        <v>24.750396689199999</v>
      </c>
      <c r="R31" s="27"/>
      <c r="S31" s="29"/>
      <c r="T31" s="27">
        <f t="shared" si="5"/>
        <v>24.750396689199999</v>
      </c>
      <c r="U31" s="29" t="s">
        <v>50</v>
      </c>
      <c r="V31" s="27" t="e">
        <f t="shared" si="6"/>
        <v>#VALUE!</v>
      </c>
      <c r="W31" s="27"/>
      <c r="X31" s="27">
        <f t="shared" si="7"/>
        <v>0</v>
      </c>
      <c r="Y31" s="99"/>
      <c r="Z31" s="27">
        <f>Y31*1.01*2.9275*1.235</f>
        <v>0</v>
      </c>
      <c r="AA31" s="27">
        <f>MIN(E31,H31,K31)</f>
        <v>3782.7423557190796</v>
      </c>
      <c r="AB31" s="27">
        <f>MIN(E31,H31)</f>
        <v>3803.7482728303303</v>
      </c>
      <c r="AC31" s="30">
        <v>4499</v>
      </c>
      <c r="AD31" s="104">
        <f t="shared" si="8"/>
        <v>0.13184777253691971</v>
      </c>
      <c r="AE31" s="31">
        <f t="shared" si="9"/>
        <v>0.15453472486545225</v>
      </c>
      <c r="AF31" s="31">
        <f t="shared" si="10"/>
        <v>0.15920374400553911</v>
      </c>
      <c r="AG31" s="31" t="e">
        <f t="shared" si="11"/>
        <v>#VALUE!</v>
      </c>
      <c r="AH31" s="31">
        <f t="shared" si="12"/>
        <v>0.99449868933336294</v>
      </c>
      <c r="AI31" s="31">
        <f t="shared" si="13"/>
        <v>0.99449868933336294</v>
      </c>
      <c r="AJ31" s="31" t="e">
        <f t="shared" si="14"/>
        <v>#VALUE!</v>
      </c>
      <c r="AK31" s="31">
        <f t="shared" si="15"/>
        <v>1</v>
      </c>
      <c r="AL31" s="32"/>
      <c r="AM31" s="32"/>
      <c r="AN31" s="29"/>
      <c r="AO31" s="29"/>
      <c r="AP31" s="35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C31" s="51"/>
    </row>
    <row r="32" spans="1:55" hidden="1" x14ac:dyDescent="0.45">
      <c r="A32" s="47" t="s">
        <v>77</v>
      </c>
      <c r="B32" s="97">
        <v>150</v>
      </c>
      <c r="C32" s="98" t="s">
        <v>86</v>
      </c>
      <c r="D32" s="29" t="s">
        <v>50</v>
      </c>
      <c r="E32" s="27" t="e">
        <f t="shared" si="0"/>
        <v>#VALUE!</v>
      </c>
      <c r="F32" s="99"/>
      <c r="G32" s="29" t="s">
        <v>50</v>
      </c>
      <c r="H32" s="27" t="e">
        <f t="shared" si="1"/>
        <v>#VALUE!</v>
      </c>
      <c r="I32" s="99"/>
      <c r="J32" s="29" t="s">
        <v>50</v>
      </c>
      <c r="K32" s="27" t="e">
        <f t="shared" si="2"/>
        <v>#VALUE!</v>
      </c>
      <c r="L32" s="28"/>
      <c r="M32" s="29" t="s">
        <v>50</v>
      </c>
      <c r="N32" s="27" t="e">
        <f t="shared" si="3"/>
        <v>#VALUE!</v>
      </c>
      <c r="O32" s="27"/>
      <c r="P32" s="29"/>
      <c r="Q32" s="27">
        <f t="shared" si="4"/>
        <v>24.750396689199999</v>
      </c>
      <c r="R32" s="27"/>
      <c r="S32" s="29"/>
      <c r="T32" s="27">
        <f t="shared" si="5"/>
        <v>24.750396689199999</v>
      </c>
      <c r="U32" s="29" t="s">
        <v>50</v>
      </c>
      <c r="V32" s="27" t="e">
        <f t="shared" si="6"/>
        <v>#VALUE!</v>
      </c>
      <c r="W32" s="27"/>
      <c r="X32" s="27">
        <f t="shared" si="7"/>
        <v>0</v>
      </c>
      <c r="Y32" s="99"/>
      <c r="Z32" s="27">
        <f>Y32*1.01*2.9275*1.235</f>
        <v>0</v>
      </c>
      <c r="AA32" s="27" t="e">
        <f t="shared" si="16"/>
        <v>#VALUE!</v>
      </c>
      <c r="AB32" s="27" t="e">
        <f>MIN(E32,N32,X32)</f>
        <v>#VALUE!</v>
      </c>
      <c r="AC32" s="30">
        <v>5149</v>
      </c>
      <c r="AD32" s="104" t="e">
        <f t="shared" si="8"/>
        <v>#VALUE!</v>
      </c>
      <c r="AE32" s="31" t="e">
        <f t="shared" si="9"/>
        <v>#VALUE!</v>
      </c>
      <c r="AF32" s="31" t="e">
        <f t="shared" si="10"/>
        <v>#VALUE!</v>
      </c>
      <c r="AG32" s="31" t="e">
        <f t="shared" si="11"/>
        <v>#VALUE!</v>
      </c>
      <c r="AH32" s="31">
        <f t="shared" si="12"/>
        <v>0.99519316436410954</v>
      </c>
      <c r="AI32" s="31">
        <f t="shared" si="13"/>
        <v>0.99519316436410954</v>
      </c>
      <c r="AJ32" s="31" t="e">
        <f t="shared" si="14"/>
        <v>#VALUE!</v>
      </c>
      <c r="AK32" s="31">
        <f t="shared" si="15"/>
        <v>1</v>
      </c>
      <c r="AL32" s="32"/>
      <c r="AM32" s="32"/>
      <c r="AN32" s="29"/>
      <c r="AO32" s="29"/>
      <c r="AP32" s="35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</row>
    <row r="33" spans="1:55" x14ac:dyDescent="0.45">
      <c r="A33" s="40" t="s">
        <v>65</v>
      </c>
      <c r="B33" s="97">
        <v>300</v>
      </c>
      <c r="C33" s="98" t="s">
        <v>13</v>
      </c>
      <c r="D33" s="29">
        <v>795</v>
      </c>
      <c r="E33" s="27">
        <f t="shared" si="0"/>
        <v>2930.1816679589992</v>
      </c>
      <c r="F33" s="99"/>
      <c r="G33" s="29">
        <v>808</v>
      </c>
      <c r="H33" s="27">
        <f t="shared" si="1"/>
        <v>2856.3462866606942</v>
      </c>
      <c r="I33" s="99"/>
      <c r="J33" s="29">
        <v>805</v>
      </c>
      <c r="K33" s="48">
        <f t="shared" si="2"/>
        <v>2845.8949498634197</v>
      </c>
      <c r="L33" s="28"/>
      <c r="M33" s="29">
        <v>790</v>
      </c>
      <c r="N33" s="27">
        <f t="shared" si="3"/>
        <v>2911.9113457979993</v>
      </c>
      <c r="O33" s="27"/>
      <c r="P33" s="29"/>
      <c r="Q33" s="27">
        <f t="shared" si="4"/>
        <v>24.750396689199999</v>
      </c>
      <c r="R33" s="27"/>
      <c r="S33" s="29"/>
      <c r="T33" s="27">
        <f t="shared" si="5"/>
        <v>24.750396689199999</v>
      </c>
      <c r="U33" s="29" t="s">
        <v>50</v>
      </c>
      <c r="V33" s="27" t="e">
        <f t="shared" si="6"/>
        <v>#VALUE!</v>
      </c>
      <c r="W33" s="27"/>
      <c r="X33" s="27">
        <f t="shared" si="7"/>
        <v>0</v>
      </c>
      <c r="Y33" s="99"/>
      <c r="Z33" s="27">
        <f>Y33*1.01*2.9275*1.235</f>
        <v>0</v>
      </c>
      <c r="AA33" s="27">
        <f t="shared" si="16"/>
        <v>2845.8949498634197</v>
      </c>
      <c r="AB33" s="27">
        <f t="shared" ref="AB33:AB39" si="18">MIN(E33,H33,N33)</f>
        <v>2856.3462866606942</v>
      </c>
      <c r="AC33" s="30">
        <v>3099</v>
      </c>
      <c r="AD33" s="104">
        <f t="shared" si="8"/>
        <v>5.4475099077444585E-2</v>
      </c>
      <c r="AE33" s="31">
        <f t="shared" si="9"/>
        <v>7.8300649673864409E-2</v>
      </c>
      <c r="AF33" s="31">
        <f t="shared" si="10"/>
        <v>8.167313653971614E-2</v>
      </c>
      <c r="AG33" s="31">
        <f t="shared" si="11"/>
        <v>6.037065317909026E-2</v>
      </c>
      <c r="AH33" s="31">
        <f t="shared" si="12"/>
        <v>0.99201342475340437</v>
      </c>
      <c r="AI33" s="31">
        <f t="shared" si="13"/>
        <v>0.99201342475340437</v>
      </c>
      <c r="AJ33" s="31" t="e">
        <f t="shared" si="14"/>
        <v>#VALUE!</v>
      </c>
      <c r="AK33" s="31">
        <f t="shared" si="15"/>
        <v>1</v>
      </c>
      <c r="AL33" s="32"/>
      <c r="AM33" s="32"/>
      <c r="AN33" s="29"/>
      <c r="AO33" s="29"/>
      <c r="AP33" s="35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C33" s="51"/>
    </row>
    <row r="34" spans="1:55" x14ac:dyDescent="0.45">
      <c r="A34" s="40" t="s">
        <v>65</v>
      </c>
      <c r="B34" s="102">
        <v>200</v>
      </c>
      <c r="C34" s="103" t="s">
        <v>19</v>
      </c>
      <c r="D34" s="29">
        <v>795</v>
      </c>
      <c r="E34" s="27">
        <f t="shared" si="0"/>
        <v>2930.1816679589992</v>
      </c>
      <c r="F34" s="99"/>
      <c r="G34" s="29">
        <v>808</v>
      </c>
      <c r="H34" s="27">
        <f t="shared" si="1"/>
        <v>2856.3462866606942</v>
      </c>
      <c r="I34" s="99"/>
      <c r="J34" s="29">
        <v>805</v>
      </c>
      <c r="K34" s="48">
        <f t="shared" si="2"/>
        <v>2845.8949498634197</v>
      </c>
      <c r="L34" s="28"/>
      <c r="M34" s="29">
        <v>790</v>
      </c>
      <c r="N34" s="27">
        <f t="shared" si="3"/>
        <v>2911.9113457979993</v>
      </c>
      <c r="O34" s="27"/>
      <c r="P34" s="29"/>
      <c r="Q34" s="27">
        <f t="shared" si="4"/>
        <v>24.750396689199999</v>
      </c>
      <c r="R34" s="27"/>
      <c r="S34" s="29"/>
      <c r="T34" s="27">
        <f t="shared" si="5"/>
        <v>24.750396689199999</v>
      </c>
      <c r="U34" s="29" t="s">
        <v>50</v>
      </c>
      <c r="V34" s="27" t="e">
        <f t="shared" si="6"/>
        <v>#VALUE!</v>
      </c>
      <c r="W34" s="27"/>
      <c r="X34" s="27">
        <f t="shared" si="7"/>
        <v>0</v>
      </c>
      <c r="Y34" s="99"/>
      <c r="Z34" s="27">
        <f>Y34*1.01*2.9275*1.235</f>
        <v>0</v>
      </c>
      <c r="AA34" s="27">
        <f t="shared" si="16"/>
        <v>2845.8949498634197</v>
      </c>
      <c r="AB34" s="27">
        <f t="shared" si="18"/>
        <v>2856.3462866606942</v>
      </c>
      <c r="AC34" s="30">
        <v>3099</v>
      </c>
      <c r="AD34" s="104">
        <f t="shared" si="8"/>
        <v>5.4475099077444585E-2</v>
      </c>
      <c r="AE34" s="31">
        <f t="shared" si="9"/>
        <v>7.8300649673864409E-2</v>
      </c>
      <c r="AF34" s="31">
        <f t="shared" si="10"/>
        <v>8.167313653971614E-2</v>
      </c>
      <c r="AG34" s="31">
        <f t="shared" si="11"/>
        <v>6.037065317909026E-2</v>
      </c>
      <c r="AH34" s="31">
        <f t="shared" si="12"/>
        <v>0.99201342475340437</v>
      </c>
      <c r="AI34" s="31">
        <f t="shared" si="13"/>
        <v>0.99201342475340437</v>
      </c>
      <c r="AJ34" s="31" t="e">
        <f t="shared" si="14"/>
        <v>#VALUE!</v>
      </c>
      <c r="AK34" s="31">
        <f t="shared" si="15"/>
        <v>1</v>
      </c>
      <c r="AL34" s="32"/>
      <c r="AM34" s="32"/>
      <c r="AN34" s="29"/>
      <c r="AO34" s="29"/>
      <c r="AP34" s="5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C34" s="51"/>
    </row>
    <row r="35" spans="1:55" x14ac:dyDescent="0.45">
      <c r="A35" s="40" t="s">
        <v>65</v>
      </c>
      <c r="B35" s="102">
        <v>300</v>
      </c>
      <c r="C35" s="103" t="s">
        <v>87</v>
      </c>
      <c r="D35" s="29">
        <v>795</v>
      </c>
      <c r="E35" s="27">
        <f t="shared" si="0"/>
        <v>2930.1816679589992</v>
      </c>
      <c r="F35" s="99"/>
      <c r="G35" s="29">
        <v>808</v>
      </c>
      <c r="H35" s="27">
        <f t="shared" si="1"/>
        <v>2856.3462866606942</v>
      </c>
      <c r="I35" s="99"/>
      <c r="J35" s="29">
        <v>805</v>
      </c>
      <c r="K35" s="48">
        <f t="shared" si="2"/>
        <v>2845.8949498634197</v>
      </c>
      <c r="L35" s="28"/>
      <c r="M35" s="29">
        <v>790</v>
      </c>
      <c r="N35" s="27">
        <f t="shared" si="3"/>
        <v>2911.9113457979993</v>
      </c>
      <c r="O35" s="27"/>
      <c r="P35" s="29"/>
      <c r="Q35" s="27">
        <f t="shared" si="4"/>
        <v>24.750396689199999</v>
      </c>
      <c r="R35" s="27"/>
      <c r="S35" s="29"/>
      <c r="T35" s="27">
        <f t="shared" si="5"/>
        <v>24.750396689199999</v>
      </c>
      <c r="U35" s="29" t="s">
        <v>50</v>
      </c>
      <c r="V35" s="27" t="e">
        <f t="shared" si="6"/>
        <v>#VALUE!</v>
      </c>
      <c r="W35" s="27"/>
      <c r="X35" s="27">
        <f t="shared" si="7"/>
        <v>0</v>
      </c>
      <c r="Y35" s="99"/>
      <c r="Z35" s="27"/>
      <c r="AA35" s="27">
        <f t="shared" si="16"/>
        <v>2845.8949498634197</v>
      </c>
      <c r="AB35" s="27">
        <f t="shared" si="18"/>
        <v>2856.3462866606942</v>
      </c>
      <c r="AC35" s="30">
        <v>3099</v>
      </c>
      <c r="AD35" s="104">
        <f t="shared" si="8"/>
        <v>5.4475099077444585E-2</v>
      </c>
      <c r="AE35" s="31">
        <f t="shared" si="9"/>
        <v>7.8300649673864409E-2</v>
      </c>
      <c r="AF35" s="31">
        <f t="shared" si="10"/>
        <v>8.167313653971614E-2</v>
      </c>
      <c r="AG35" s="31">
        <f t="shared" si="11"/>
        <v>6.037065317909026E-2</v>
      </c>
      <c r="AH35" s="31">
        <f t="shared" si="12"/>
        <v>0.99201342475340437</v>
      </c>
      <c r="AI35" s="31">
        <f t="shared" si="13"/>
        <v>0.99201342475340437</v>
      </c>
      <c r="AJ35" s="31" t="e">
        <f t="shared" si="14"/>
        <v>#VALUE!</v>
      </c>
      <c r="AK35" s="31">
        <f t="shared" si="15"/>
        <v>1</v>
      </c>
      <c r="AL35" s="32"/>
      <c r="AM35" s="32"/>
      <c r="AN35" s="29"/>
      <c r="AO35" s="29"/>
      <c r="AP35" s="35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C35" s="51"/>
    </row>
    <row r="36" spans="1:55" x14ac:dyDescent="0.45">
      <c r="A36" s="40" t="s">
        <v>65</v>
      </c>
      <c r="B36" s="102">
        <v>100</v>
      </c>
      <c r="C36" s="103" t="s">
        <v>18</v>
      </c>
      <c r="D36" s="29">
        <v>795</v>
      </c>
      <c r="E36" s="27">
        <f t="shared" si="0"/>
        <v>2930.1816679589992</v>
      </c>
      <c r="F36" s="99"/>
      <c r="G36" s="29">
        <v>808</v>
      </c>
      <c r="H36" s="27">
        <f t="shared" si="1"/>
        <v>2856.3462866606942</v>
      </c>
      <c r="I36" s="99"/>
      <c r="J36" s="29">
        <v>805</v>
      </c>
      <c r="K36" s="48">
        <f t="shared" si="2"/>
        <v>2845.8949498634197</v>
      </c>
      <c r="L36" s="28"/>
      <c r="M36" s="29">
        <v>790</v>
      </c>
      <c r="N36" s="27">
        <f t="shared" si="3"/>
        <v>2911.9113457979993</v>
      </c>
      <c r="O36" s="27"/>
      <c r="P36" s="29"/>
      <c r="Q36" s="27">
        <f t="shared" si="4"/>
        <v>24.750396689199999</v>
      </c>
      <c r="R36" s="27"/>
      <c r="S36" s="29"/>
      <c r="T36" s="27">
        <f t="shared" si="5"/>
        <v>24.750396689199999</v>
      </c>
      <c r="U36" s="29" t="s">
        <v>50</v>
      </c>
      <c r="V36" s="27" t="e">
        <f t="shared" si="6"/>
        <v>#VALUE!</v>
      </c>
      <c r="W36" s="27"/>
      <c r="X36" s="27">
        <f t="shared" si="7"/>
        <v>0</v>
      </c>
      <c r="Y36" s="99"/>
      <c r="Z36" s="27"/>
      <c r="AA36" s="27">
        <f t="shared" si="16"/>
        <v>2845.8949498634197</v>
      </c>
      <c r="AB36" s="27">
        <f t="shared" si="18"/>
        <v>2856.3462866606942</v>
      </c>
      <c r="AC36" s="30">
        <v>3099</v>
      </c>
      <c r="AD36" s="104">
        <f t="shared" si="8"/>
        <v>5.4475099077444585E-2</v>
      </c>
      <c r="AE36" s="31">
        <f t="shared" si="9"/>
        <v>7.8300649673864409E-2</v>
      </c>
      <c r="AF36" s="31">
        <f t="shared" si="10"/>
        <v>8.167313653971614E-2</v>
      </c>
      <c r="AG36" s="31">
        <f t="shared" si="11"/>
        <v>6.037065317909026E-2</v>
      </c>
      <c r="AH36" s="31">
        <f t="shared" si="12"/>
        <v>0.99201342475340437</v>
      </c>
      <c r="AI36" s="31">
        <f t="shared" si="13"/>
        <v>0.99201342475340437</v>
      </c>
      <c r="AJ36" s="31" t="e">
        <f t="shared" si="14"/>
        <v>#VALUE!</v>
      </c>
      <c r="AK36" s="31">
        <f t="shared" si="15"/>
        <v>1</v>
      </c>
      <c r="AL36" s="32"/>
      <c r="AM36" s="32"/>
      <c r="AN36" s="29"/>
      <c r="AO36" s="29"/>
      <c r="AP36" s="35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C36" s="51"/>
    </row>
    <row r="37" spans="1:55" x14ac:dyDescent="0.45">
      <c r="A37" s="40" t="s">
        <v>65</v>
      </c>
      <c r="B37" s="102">
        <v>300</v>
      </c>
      <c r="C37" s="103" t="s">
        <v>20</v>
      </c>
      <c r="D37" s="29">
        <v>795</v>
      </c>
      <c r="E37" s="27">
        <f t="shared" si="0"/>
        <v>2930.1816679589992</v>
      </c>
      <c r="F37" s="99"/>
      <c r="G37" s="29">
        <v>808</v>
      </c>
      <c r="H37" s="27">
        <f t="shared" si="1"/>
        <v>2856.3462866606942</v>
      </c>
      <c r="I37" s="99"/>
      <c r="J37" s="29">
        <v>805</v>
      </c>
      <c r="K37" s="48">
        <f t="shared" si="2"/>
        <v>2845.8949498634197</v>
      </c>
      <c r="L37" s="28"/>
      <c r="M37" s="29">
        <v>790</v>
      </c>
      <c r="N37" s="27">
        <f t="shared" si="3"/>
        <v>2911.9113457979993</v>
      </c>
      <c r="O37" s="27"/>
      <c r="P37" s="29"/>
      <c r="Q37" s="27">
        <f t="shared" si="4"/>
        <v>24.750396689199999</v>
      </c>
      <c r="R37" s="27"/>
      <c r="S37" s="29"/>
      <c r="T37" s="27">
        <f t="shared" si="5"/>
        <v>24.750396689199999</v>
      </c>
      <c r="U37" s="46" t="s">
        <v>50</v>
      </c>
      <c r="V37" s="27" t="e">
        <f t="shared" si="6"/>
        <v>#VALUE!</v>
      </c>
      <c r="W37" s="27"/>
      <c r="X37" s="27">
        <f t="shared" si="7"/>
        <v>0</v>
      </c>
      <c r="Y37" s="99"/>
      <c r="Z37" s="27"/>
      <c r="AA37" s="27">
        <f t="shared" si="16"/>
        <v>2845.8949498634197</v>
      </c>
      <c r="AB37" s="27">
        <f t="shared" si="18"/>
        <v>2856.3462866606942</v>
      </c>
      <c r="AC37" s="30">
        <v>3099</v>
      </c>
      <c r="AD37" s="104">
        <f t="shared" si="8"/>
        <v>5.4475099077444585E-2</v>
      </c>
      <c r="AE37" s="31">
        <f t="shared" si="9"/>
        <v>7.8300649673864409E-2</v>
      </c>
      <c r="AF37" s="31">
        <f t="shared" si="10"/>
        <v>8.167313653971614E-2</v>
      </c>
      <c r="AG37" s="31">
        <f t="shared" si="11"/>
        <v>6.037065317909026E-2</v>
      </c>
      <c r="AH37" s="31">
        <f t="shared" si="12"/>
        <v>0.99201342475340437</v>
      </c>
      <c r="AI37" s="31">
        <f t="shared" si="13"/>
        <v>0.99201342475340437</v>
      </c>
      <c r="AJ37" s="31" t="e">
        <f t="shared" si="14"/>
        <v>#VALUE!</v>
      </c>
      <c r="AK37" s="31">
        <f t="shared" si="15"/>
        <v>1</v>
      </c>
      <c r="AL37" s="32"/>
      <c r="AM37" s="32"/>
      <c r="AN37" s="29"/>
      <c r="AO37" s="29"/>
      <c r="AP37" s="35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C37" s="51"/>
    </row>
    <row r="38" spans="1:55" x14ac:dyDescent="0.45">
      <c r="A38" s="40" t="s">
        <v>78</v>
      </c>
      <c r="B38" s="102">
        <v>100</v>
      </c>
      <c r="C38" s="103" t="s">
        <v>88</v>
      </c>
      <c r="D38" s="29">
        <v>1160</v>
      </c>
      <c r="E38" s="27">
        <f t="shared" si="0"/>
        <v>4263.9151857119996</v>
      </c>
      <c r="F38" s="99"/>
      <c r="G38" s="29">
        <v>1180</v>
      </c>
      <c r="H38" s="27">
        <f t="shared" si="1"/>
        <v>4171.3968047767557</v>
      </c>
      <c r="I38" s="99"/>
      <c r="J38" s="29">
        <v>1177</v>
      </c>
      <c r="K38" s="48">
        <f t="shared" si="2"/>
        <v>4161.0165912909879</v>
      </c>
      <c r="L38" s="28"/>
      <c r="M38" s="29">
        <v>1160</v>
      </c>
      <c r="N38" s="27">
        <f t="shared" si="3"/>
        <v>4263.9151857119996</v>
      </c>
      <c r="O38" s="27"/>
      <c r="P38" s="29"/>
      <c r="Q38" s="27">
        <f t="shared" si="4"/>
        <v>24.750396689199999</v>
      </c>
      <c r="R38" s="27"/>
      <c r="S38" s="29"/>
      <c r="T38" s="27">
        <f t="shared" si="5"/>
        <v>24.750396689199999</v>
      </c>
      <c r="U38" s="29" t="s">
        <v>50</v>
      </c>
      <c r="V38" s="27" t="e">
        <f t="shared" si="6"/>
        <v>#VALUE!</v>
      </c>
      <c r="W38" s="27"/>
      <c r="X38" s="27">
        <f t="shared" si="7"/>
        <v>0</v>
      </c>
      <c r="Y38" s="99"/>
      <c r="Z38" s="27"/>
      <c r="AA38" s="27">
        <f t="shared" si="16"/>
        <v>4161.0165912909879</v>
      </c>
      <c r="AB38" s="27">
        <f t="shared" si="18"/>
        <v>4171.3968047767557</v>
      </c>
      <c r="AC38" s="30">
        <v>4899</v>
      </c>
      <c r="AD38" s="104">
        <f t="shared" si="8"/>
        <v>0.12963560201837118</v>
      </c>
      <c r="AE38" s="31">
        <f t="shared" si="9"/>
        <v>0.14852075836359344</v>
      </c>
      <c r="AF38" s="31">
        <f t="shared" si="10"/>
        <v>0.15063960169606289</v>
      </c>
      <c r="AG38" s="31">
        <f t="shared" si="11"/>
        <v>0.12963560201837118</v>
      </c>
      <c r="AH38" s="31">
        <f t="shared" si="12"/>
        <v>0.99494786758742604</v>
      </c>
      <c r="AI38" s="31">
        <f t="shared" si="13"/>
        <v>0.99494786758742604</v>
      </c>
      <c r="AJ38" s="31" t="e">
        <f t="shared" si="14"/>
        <v>#VALUE!</v>
      </c>
      <c r="AK38" s="31">
        <f t="shared" si="15"/>
        <v>1</v>
      </c>
      <c r="AL38" s="32"/>
      <c r="AM38" s="32"/>
      <c r="AN38" s="29"/>
      <c r="AO38" s="29"/>
      <c r="AP38" s="35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C38" s="51"/>
    </row>
    <row r="39" spans="1:55" x14ac:dyDescent="0.45">
      <c r="A39" s="40" t="s">
        <v>78</v>
      </c>
      <c r="B39" s="102">
        <v>40</v>
      </c>
      <c r="C39" s="103" t="s">
        <v>14</v>
      </c>
      <c r="D39" s="29">
        <v>1160</v>
      </c>
      <c r="E39" s="27">
        <f t="shared" si="0"/>
        <v>4263.9151857119996</v>
      </c>
      <c r="F39" s="99"/>
      <c r="G39" s="29">
        <v>1185</v>
      </c>
      <c r="H39" s="27">
        <f t="shared" si="1"/>
        <v>4189.072214966488</v>
      </c>
      <c r="I39" s="99"/>
      <c r="J39" s="29">
        <v>1177</v>
      </c>
      <c r="K39" s="48">
        <f t="shared" si="2"/>
        <v>4161.0165912909879</v>
      </c>
      <c r="L39" s="28"/>
      <c r="M39" s="29">
        <v>1160</v>
      </c>
      <c r="N39" s="27">
        <f t="shared" si="3"/>
        <v>4263.9151857119996</v>
      </c>
      <c r="O39" s="27"/>
      <c r="P39" s="29"/>
      <c r="Q39" s="27">
        <f t="shared" si="4"/>
        <v>24.750396689199999</v>
      </c>
      <c r="R39" s="27"/>
      <c r="S39" s="29"/>
      <c r="T39" s="27">
        <f t="shared" si="5"/>
        <v>24.750396689199999</v>
      </c>
      <c r="U39" s="29" t="s">
        <v>50</v>
      </c>
      <c r="V39" s="27" t="e">
        <f t="shared" si="6"/>
        <v>#VALUE!</v>
      </c>
      <c r="W39" s="27"/>
      <c r="X39" s="27">
        <f t="shared" si="7"/>
        <v>0</v>
      </c>
      <c r="Y39" s="99"/>
      <c r="Z39" s="27"/>
      <c r="AA39" s="27">
        <f t="shared" si="16"/>
        <v>4161.0165912909879</v>
      </c>
      <c r="AB39" s="27">
        <f t="shared" si="18"/>
        <v>4189.072214966488</v>
      </c>
      <c r="AC39" s="30">
        <v>4899</v>
      </c>
      <c r="AD39" s="104">
        <f t="shared" si="8"/>
        <v>0.12963560201837118</v>
      </c>
      <c r="AE39" s="31">
        <f t="shared" si="9"/>
        <v>0.14491279547530353</v>
      </c>
      <c r="AF39" s="31">
        <f t="shared" si="10"/>
        <v>0.15063960169606289</v>
      </c>
      <c r="AG39" s="31">
        <f t="shared" si="11"/>
        <v>0.12963560201837118</v>
      </c>
      <c r="AH39" s="31">
        <f t="shared" si="12"/>
        <v>0.99494786758742604</v>
      </c>
      <c r="AI39" s="31">
        <f t="shared" si="13"/>
        <v>0.99494786758742604</v>
      </c>
      <c r="AJ39" s="31" t="e">
        <f t="shared" si="14"/>
        <v>#VALUE!</v>
      </c>
      <c r="AK39" s="31">
        <f t="shared" si="15"/>
        <v>1</v>
      </c>
      <c r="AL39" s="32"/>
      <c r="AM39" s="32"/>
      <c r="AN39" s="29"/>
      <c r="AO39" s="29"/>
      <c r="AP39" s="35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C39" s="51"/>
    </row>
    <row r="40" spans="1:55" x14ac:dyDescent="0.45">
      <c r="A40" s="40" t="s">
        <v>66</v>
      </c>
      <c r="B40" s="97">
        <v>300</v>
      </c>
      <c r="C40" s="98" t="s">
        <v>89</v>
      </c>
      <c r="D40" s="29">
        <v>1350</v>
      </c>
      <c r="E40" s="27">
        <f t="shared" si="0"/>
        <v>4958.1874278299974</v>
      </c>
      <c r="F40" s="99"/>
      <c r="G40" s="29">
        <v>1400</v>
      </c>
      <c r="H40" s="48">
        <f t="shared" si="1"/>
        <v>4949.1148531249646</v>
      </c>
      <c r="I40" s="99"/>
      <c r="J40" s="29">
        <v>1402</v>
      </c>
      <c r="K40" s="27">
        <f t="shared" si="2"/>
        <v>4956.453067960887</v>
      </c>
      <c r="L40" s="28"/>
      <c r="M40" s="29">
        <v>1335</v>
      </c>
      <c r="N40" s="27">
        <f t="shared" si="3"/>
        <v>4903.3764613469984</v>
      </c>
      <c r="O40" s="27"/>
      <c r="P40" s="29"/>
      <c r="Q40" s="27">
        <f t="shared" si="4"/>
        <v>24.750396689199999</v>
      </c>
      <c r="R40" s="27"/>
      <c r="S40" s="29"/>
      <c r="T40" s="27">
        <f t="shared" si="5"/>
        <v>24.750396689199999</v>
      </c>
      <c r="U40" s="29" t="s">
        <v>50</v>
      </c>
      <c r="V40" s="27" t="e">
        <f t="shared" si="6"/>
        <v>#VALUE!</v>
      </c>
      <c r="W40" s="27"/>
      <c r="X40" s="27">
        <f t="shared" si="7"/>
        <v>0</v>
      </c>
      <c r="Y40" s="99"/>
      <c r="Z40" s="27">
        <f>Y40*1.01*2.9275*1.235</f>
        <v>0</v>
      </c>
      <c r="AA40" s="27">
        <f t="shared" si="16"/>
        <v>4903.3764613469984</v>
      </c>
      <c r="AB40" s="27">
        <f>MIN(E40,K40,N40)</f>
        <v>4903.3764613469984</v>
      </c>
      <c r="AC40" s="30">
        <v>5799</v>
      </c>
      <c r="AD40" s="104">
        <f t="shared" si="8"/>
        <v>0.14499268359544792</v>
      </c>
      <c r="AE40" s="31">
        <f t="shared" si="9"/>
        <v>0.14655719035610199</v>
      </c>
      <c r="AF40" s="31">
        <f t="shared" si="10"/>
        <v>0.14529176272445474</v>
      </c>
      <c r="AG40" s="31">
        <f t="shared" si="11"/>
        <v>0.15444447985049173</v>
      </c>
      <c r="AH40" s="31">
        <f t="shared" si="12"/>
        <v>0.99573195435606143</v>
      </c>
      <c r="AI40" s="31">
        <f t="shared" si="13"/>
        <v>0.99573195435606143</v>
      </c>
      <c r="AJ40" s="31" t="e">
        <f t="shared" si="14"/>
        <v>#VALUE!</v>
      </c>
      <c r="AK40" s="31">
        <f t="shared" si="15"/>
        <v>1</v>
      </c>
      <c r="AL40" s="32"/>
      <c r="AM40" s="32"/>
      <c r="AN40" s="29"/>
      <c r="AO40" s="29"/>
      <c r="AP40" s="35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C40" s="51"/>
    </row>
    <row r="41" spans="1:55" x14ac:dyDescent="0.45">
      <c r="A41" s="40" t="s">
        <v>66</v>
      </c>
      <c r="B41" s="97">
        <v>450</v>
      </c>
      <c r="C41" s="98" t="s">
        <v>90</v>
      </c>
      <c r="D41" s="29">
        <v>1350</v>
      </c>
      <c r="E41" s="27">
        <f t="shared" si="0"/>
        <v>4958.1874278299974</v>
      </c>
      <c r="F41" s="99"/>
      <c r="G41" s="29">
        <v>1357</v>
      </c>
      <c r="H41" s="27">
        <f t="shared" si="1"/>
        <v>4797.1063254932697</v>
      </c>
      <c r="I41" s="99"/>
      <c r="J41" s="29">
        <v>1352</v>
      </c>
      <c r="K41" s="48">
        <f t="shared" si="2"/>
        <v>4779.6894064786866</v>
      </c>
      <c r="L41" s="28"/>
      <c r="M41" s="29">
        <v>1335</v>
      </c>
      <c r="N41" s="27">
        <f t="shared" si="3"/>
        <v>4903.3764613469984</v>
      </c>
      <c r="O41" s="27"/>
      <c r="P41" s="29"/>
      <c r="Q41" s="27">
        <f t="shared" si="4"/>
        <v>24.750396689199999</v>
      </c>
      <c r="R41" s="27"/>
      <c r="S41" s="29"/>
      <c r="T41" s="27">
        <f t="shared" si="5"/>
        <v>24.750396689199999</v>
      </c>
      <c r="U41" s="29" t="s">
        <v>50</v>
      </c>
      <c r="V41" s="27" t="e">
        <f t="shared" si="6"/>
        <v>#VALUE!</v>
      </c>
      <c r="W41" s="27"/>
      <c r="X41" s="27">
        <f t="shared" si="7"/>
        <v>0</v>
      </c>
      <c r="Y41" s="99"/>
      <c r="Z41" s="27">
        <f>Y41*1.01*2.9275*1.235</f>
        <v>0</v>
      </c>
      <c r="AA41" s="27">
        <f t="shared" si="16"/>
        <v>4779.6894064786866</v>
      </c>
      <c r="AB41" s="27">
        <f>MIN(E41,H41,N41)</f>
        <v>4797.1063254932697</v>
      </c>
      <c r="AC41" s="30">
        <v>5799</v>
      </c>
      <c r="AD41" s="104">
        <f t="shared" si="8"/>
        <v>0.14499268359544792</v>
      </c>
      <c r="AE41" s="31">
        <f t="shared" si="9"/>
        <v>0.17277007665230734</v>
      </c>
      <c r="AF41" s="31">
        <f t="shared" si="10"/>
        <v>0.17577351155739152</v>
      </c>
      <c r="AG41" s="31">
        <f t="shared" si="11"/>
        <v>0.15444447985049173</v>
      </c>
      <c r="AH41" s="31">
        <f t="shared" si="12"/>
        <v>0.99573195435606143</v>
      </c>
      <c r="AI41" s="31">
        <f t="shared" si="13"/>
        <v>0.99573195435606143</v>
      </c>
      <c r="AJ41" s="31" t="e">
        <f t="shared" si="14"/>
        <v>#VALUE!</v>
      </c>
      <c r="AK41" s="31">
        <f t="shared" si="15"/>
        <v>1</v>
      </c>
      <c r="AL41" s="32"/>
      <c r="AM41" s="32"/>
      <c r="AN41" s="29"/>
      <c r="AO41" s="29"/>
      <c r="AP41" s="35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C41" s="51"/>
    </row>
    <row r="42" spans="1:55" x14ac:dyDescent="0.45">
      <c r="A42" s="40" t="s">
        <v>66</v>
      </c>
      <c r="B42" s="97">
        <v>450</v>
      </c>
      <c r="C42" s="98" t="s">
        <v>14</v>
      </c>
      <c r="D42" s="29">
        <v>1350</v>
      </c>
      <c r="E42" s="27">
        <f t="shared" si="0"/>
        <v>4958.1874278299974</v>
      </c>
      <c r="F42" s="99"/>
      <c r="G42" s="29">
        <v>1357</v>
      </c>
      <c r="H42" s="27">
        <f t="shared" si="1"/>
        <v>4797.1063254932697</v>
      </c>
      <c r="I42" s="99"/>
      <c r="J42" s="29">
        <v>1352</v>
      </c>
      <c r="K42" s="48">
        <f t="shared" si="2"/>
        <v>4779.6894064786866</v>
      </c>
      <c r="L42" s="28"/>
      <c r="M42" s="29">
        <v>1335</v>
      </c>
      <c r="N42" s="27">
        <f t="shared" si="3"/>
        <v>4903.3764613469984</v>
      </c>
      <c r="O42" s="27"/>
      <c r="P42" s="29"/>
      <c r="Q42" s="27">
        <f t="shared" si="4"/>
        <v>24.750396689199999</v>
      </c>
      <c r="R42" s="27"/>
      <c r="S42" s="29"/>
      <c r="T42" s="27">
        <f t="shared" si="5"/>
        <v>24.750396689199999</v>
      </c>
      <c r="U42" s="29" t="s">
        <v>50</v>
      </c>
      <c r="V42" s="27" t="e">
        <f t="shared" si="6"/>
        <v>#VALUE!</v>
      </c>
      <c r="W42" s="27"/>
      <c r="X42" s="27">
        <f t="shared" si="7"/>
        <v>0</v>
      </c>
      <c r="Y42" s="99"/>
      <c r="Z42" s="27">
        <f>Y42*1.01*2.9275*1.235</f>
        <v>0</v>
      </c>
      <c r="AA42" s="27">
        <f t="shared" si="16"/>
        <v>4779.6894064786866</v>
      </c>
      <c r="AB42" s="27">
        <f>MIN(E42,H42,N42)</f>
        <v>4797.1063254932697</v>
      </c>
      <c r="AC42" s="30">
        <v>5799</v>
      </c>
      <c r="AD42" s="104">
        <f t="shared" si="8"/>
        <v>0.14499268359544792</v>
      </c>
      <c r="AE42" s="31">
        <f t="shared" si="9"/>
        <v>0.17277007665230734</v>
      </c>
      <c r="AF42" s="31">
        <f t="shared" si="10"/>
        <v>0.17577351155739152</v>
      </c>
      <c r="AG42" s="31">
        <f t="shared" si="11"/>
        <v>0.15444447985049173</v>
      </c>
      <c r="AH42" s="31">
        <f t="shared" si="12"/>
        <v>0.99573195435606143</v>
      </c>
      <c r="AI42" s="31">
        <f t="shared" si="13"/>
        <v>0.99573195435606143</v>
      </c>
      <c r="AJ42" s="31" t="e">
        <f t="shared" si="14"/>
        <v>#VALUE!</v>
      </c>
      <c r="AK42" s="31">
        <f t="shared" si="15"/>
        <v>1</v>
      </c>
      <c r="AL42" s="32"/>
      <c r="AM42" s="32"/>
      <c r="AN42" s="29"/>
      <c r="AO42" s="29"/>
      <c r="AP42" s="35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C42" s="51"/>
    </row>
    <row r="43" spans="1:55" x14ac:dyDescent="0.45">
      <c r="A43" s="40" t="s">
        <v>79</v>
      </c>
      <c r="B43" s="102">
        <v>50</v>
      </c>
      <c r="C43" s="103" t="s">
        <v>91</v>
      </c>
      <c r="D43" s="29">
        <v>1257</v>
      </c>
      <c r="E43" s="27">
        <f t="shared" si="0"/>
        <v>4618.3594356353979</v>
      </c>
      <c r="F43" s="99"/>
      <c r="G43" s="29">
        <v>1261</v>
      </c>
      <c r="H43" s="48">
        <f t="shared" si="1"/>
        <v>4457.7384498504143</v>
      </c>
      <c r="I43" s="99"/>
      <c r="J43" s="29">
        <v>1290</v>
      </c>
      <c r="K43" s="27">
        <f t="shared" si="2"/>
        <v>4560.5024662407595</v>
      </c>
      <c r="L43" s="28"/>
      <c r="M43" s="29">
        <v>1260</v>
      </c>
      <c r="N43" s="27">
        <f t="shared" si="3"/>
        <v>4629.321628931998</v>
      </c>
      <c r="O43" s="27"/>
      <c r="P43" s="29"/>
      <c r="Q43" s="27">
        <f t="shared" si="4"/>
        <v>24.750396689199999</v>
      </c>
      <c r="R43" s="27"/>
      <c r="S43" s="29"/>
      <c r="T43" s="27">
        <f t="shared" si="5"/>
        <v>24.750396689199999</v>
      </c>
      <c r="U43" s="29" t="s">
        <v>50</v>
      </c>
      <c r="V43" s="27" t="e">
        <f t="shared" si="6"/>
        <v>#VALUE!</v>
      </c>
      <c r="W43" s="27"/>
      <c r="X43" s="27">
        <f t="shared" si="7"/>
        <v>0</v>
      </c>
      <c r="Y43" s="99"/>
      <c r="Z43" s="27">
        <f>Y43*1.01*2.9275*1.235</f>
        <v>0</v>
      </c>
      <c r="AA43" s="27">
        <f t="shared" si="16"/>
        <v>4457.7384498504143</v>
      </c>
      <c r="AB43" s="27">
        <f>MIN(E43,K43,N43)</f>
        <v>4560.5024662407595</v>
      </c>
      <c r="AC43" s="30">
        <v>5499</v>
      </c>
      <c r="AD43" s="104">
        <f t="shared" si="8"/>
        <v>0.16014558362695075</v>
      </c>
      <c r="AE43" s="31">
        <f t="shared" si="9"/>
        <v>0.18935470997446549</v>
      </c>
      <c r="AF43" s="31">
        <f t="shared" si="10"/>
        <v>0.17066694558269513</v>
      </c>
      <c r="AG43" s="31">
        <f t="shared" si="11"/>
        <v>0.15815209512056774</v>
      </c>
      <c r="AH43" s="31">
        <f t="shared" si="12"/>
        <v>0.99549910953096932</v>
      </c>
      <c r="AI43" s="31">
        <f t="shared" si="13"/>
        <v>0.99549910953096932</v>
      </c>
      <c r="AJ43" s="31" t="e">
        <f t="shared" si="14"/>
        <v>#VALUE!</v>
      </c>
      <c r="AK43" s="31">
        <f t="shared" si="15"/>
        <v>1</v>
      </c>
      <c r="AL43" s="32"/>
      <c r="AM43" s="32"/>
      <c r="AN43" s="29"/>
      <c r="AO43" s="29"/>
      <c r="AP43" s="5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C43" s="51"/>
    </row>
    <row r="44" spans="1:55" x14ac:dyDescent="0.45">
      <c r="A44" s="40" t="s">
        <v>79</v>
      </c>
      <c r="B44" s="102">
        <v>40</v>
      </c>
      <c r="C44" s="103" t="s">
        <v>90</v>
      </c>
      <c r="D44" s="29">
        <v>1267</v>
      </c>
      <c r="E44" s="27">
        <f t="shared" si="0"/>
        <v>4654.9000799573987</v>
      </c>
      <c r="F44" s="99"/>
      <c r="G44" s="29">
        <v>1291</v>
      </c>
      <c r="H44" s="27">
        <f t="shared" si="1"/>
        <v>4563.790910988806</v>
      </c>
      <c r="I44" s="99"/>
      <c r="J44" s="29">
        <v>1290</v>
      </c>
      <c r="K44" s="48">
        <f t="shared" si="2"/>
        <v>4560.5024662407595</v>
      </c>
      <c r="L44" s="28"/>
      <c r="M44" s="29">
        <v>1275</v>
      </c>
      <c r="N44" s="27">
        <f t="shared" si="3"/>
        <v>4684.1325954149979</v>
      </c>
      <c r="O44" s="27"/>
      <c r="P44" s="29"/>
      <c r="Q44" s="27">
        <f t="shared" si="4"/>
        <v>24.750396689199999</v>
      </c>
      <c r="R44" s="27"/>
      <c r="S44" s="29"/>
      <c r="T44" s="27">
        <f t="shared" si="5"/>
        <v>24.750396689199999</v>
      </c>
      <c r="U44" s="29" t="s">
        <v>50</v>
      </c>
      <c r="V44" s="27" t="e">
        <f t="shared" si="6"/>
        <v>#VALUE!</v>
      </c>
      <c r="W44" s="27"/>
      <c r="X44" s="27">
        <f t="shared" si="7"/>
        <v>0</v>
      </c>
      <c r="Y44" s="99"/>
      <c r="Z44" s="27"/>
      <c r="AA44" s="27">
        <f t="shared" si="16"/>
        <v>4560.5024662407595</v>
      </c>
      <c r="AB44" s="27">
        <f>MIN(E44,H44,N44)</f>
        <v>4563.790910988806</v>
      </c>
      <c r="AC44" s="30">
        <v>5499</v>
      </c>
      <c r="AD44" s="104">
        <f t="shared" si="8"/>
        <v>0.15350062193900732</v>
      </c>
      <c r="AE44" s="31">
        <f t="shared" si="9"/>
        <v>0.17006893780890961</v>
      </c>
      <c r="AF44" s="31">
        <f t="shared" si="10"/>
        <v>0.17066694558269513</v>
      </c>
      <c r="AG44" s="31">
        <f t="shared" si="11"/>
        <v>0.14818465258865285</v>
      </c>
      <c r="AH44" s="31">
        <f t="shared" si="12"/>
        <v>0.99549910953096932</v>
      </c>
      <c r="AI44" s="31">
        <f t="shared" si="13"/>
        <v>0.99549910953096932</v>
      </c>
      <c r="AJ44" s="31" t="e">
        <f t="shared" si="14"/>
        <v>#VALUE!</v>
      </c>
      <c r="AK44" s="31">
        <f t="shared" si="15"/>
        <v>1</v>
      </c>
      <c r="AL44" s="32"/>
      <c r="AM44" s="32"/>
      <c r="AN44" s="29"/>
      <c r="AO44" s="29"/>
      <c r="AP44" s="35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C44" s="51"/>
    </row>
    <row r="45" spans="1:55" x14ac:dyDescent="0.45">
      <c r="A45" s="40" t="s">
        <v>79</v>
      </c>
      <c r="B45" s="102">
        <v>50</v>
      </c>
      <c r="C45" s="103" t="s">
        <v>14</v>
      </c>
      <c r="D45" s="29">
        <v>1267</v>
      </c>
      <c r="E45" s="27">
        <f t="shared" si="0"/>
        <v>4654.9000799573987</v>
      </c>
      <c r="F45" s="99"/>
      <c r="G45" s="29">
        <v>1292</v>
      </c>
      <c r="H45" s="27">
        <f t="shared" si="1"/>
        <v>4567.3259930267532</v>
      </c>
      <c r="I45" s="99"/>
      <c r="J45" s="29">
        <v>1290</v>
      </c>
      <c r="K45" s="48">
        <f t="shared" si="2"/>
        <v>4560.5024662407595</v>
      </c>
      <c r="L45" s="28"/>
      <c r="M45" s="29">
        <v>1275</v>
      </c>
      <c r="N45" s="27">
        <f t="shared" si="3"/>
        <v>4684.1325954149979</v>
      </c>
      <c r="O45" s="27"/>
      <c r="P45" s="29"/>
      <c r="Q45" s="27">
        <f t="shared" si="4"/>
        <v>24.750396689199999</v>
      </c>
      <c r="R45" s="27"/>
      <c r="S45" s="29"/>
      <c r="T45" s="27">
        <f t="shared" si="5"/>
        <v>24.750396689199999</v>
      </c>
      <c r="U45" s="29" t="s">
        <v>50</v>
      </c>
      <c r="V45" s="27" t="e">
        <f t="shared" si="6"/>
        <v>#VALUE!</v>
      </c>
      <c r="W45" s="27"/>
      <c r="X45" s="27">
        <f t="shared" si="7"/>
        <v>0</v>
      </c>
      <c r="Y45" s="99"/>
      <c r="Z45" s="27"/>
      <c r="AA45" s="27">
        <f t="shared" si="16"/>
        <v>4560.5024662407595</v>
      </c>
      <c r="AB45" s="27">
        <f>MIN(E45,H45,N45)</f>
        <v>4567.3259930267532</v>
      </c>
      <c r="AC45" s="30">
        <v>5499</v>
      </c>
      <c r="AD45" s="104">
        <f t="shared" si="8"/>
        <v>0.15350062193900732</v>
      </c>
      <c r="AE45" s="31">
        <f t="shared" si="9"/>
        <v>0.16942607873672427</v>
      </c>
      <c r="AF45" s="31">
        <f t="shared" si="10"/>
        <v>0.17066694558269513</v>
      </c>
      <c r="AG45" s="31">
        <f t="shared" si="11"/>
        <v>0.14818465258865285</v>
      </c>
      <c r="AH45" s="31">
        <f t="shared" si="12"/>
        <v>0.99549910953096932</v>
      </c>
      <c r="AI45" s="31">
        <f t="shared" si="13"/>
        <v>0.99549910953096932</v>
      </c>
      <c r="AJ45" s="31" t="e">
        <f t="shared" si="14"/>
        <v>#VALUE!</v>
      </c>
      <c r="AK45" s="31">
        <f t="shared" si="15"/>
        <v>1</v>
      </c>
      <c r="AL45" s="32"/>
      <c r="AM45" s="32"/>
      <c r="AN45" s="29"/>
      <c r="AO45" s="29"/>
      <c r="AP45" s="35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C45" s="51"/>
    </row>
    <row r="46" spans="1:55" x14ac:dyDescent="0.45">
      <c r="A46" s="40" t="s">
        <v>67</v>
      </c>
      <c r="B46" s="102">
        <v>70</v>
      </c>
      <c r="C46" s="103" t="s">
        <v>89</v>
      </c>
      <c r="D46" s="29">
        <v>1460</v>
      </c>
      <c r="E46" s="27">
        <f t="shared" si="0"/>
        <v>5360.1345153719985</v>
      </c>
      <c r="F46" s="99"/>
      <c r="G46" s="29">
        <v>1489</v>
      </c>
      <c r="H46" s="27">
        <f t="shared" si="1"/>
        <v>5263.7371545021952</v>
      </c>
      <c r="I46" s="99"/>
      <c r="J46" s="29">
        <v>1487</v>
      </c>
      <c r="K46" s="48">
        <f t="shared" si="2"/>
        <v>5256.9512924806277</v>
      </c>
      <c r="L46" s="28"/>
      <c r="M46" s="29">
        <v>1460</v>
      </c>
      <c r="N46" s="27">
        <f t="shared" si="3"/>
        <v>5360.1345153719985</v>
      </c>
      <c r="O46" s="27"/>
      <c r="P46" s="29"/>
      <c r="Q46" s="27">
        <f t="shared" si="4"/>
        <v>24.750396689199999</v>
      </c>
      <c r="R46" s="27"/>
      <c r="S46" s="29"/>
      <c r="T46" s="27">
        <f t="shared" si="5"/>
        <v>24.750396689199999</v>
      </c>
      <c r="U46" s="46" t="s">
        <v>50</v>
      </c>
      <c r="V46" s="27" t="e">
        <f t="shared" si="6"/>
        <v>#VALUE!</v>
      </c>
      <c r="W46" s="27"/>
      <c r="X46" s="27">
        <f t="shared" si="7"/>
        <v>0</v>
      </c>
      <c r="Y46" s="99"/>
      <c r="Z46" s="27"/>
      <c r="AA46" s="27">
        <f t="shared" si="16"/>
        <v>5256.9512924806277</v>
      </c>
      <c r="AB46" s="27">
        <f>MIN(E46,H46,N46)</f>
        <v>5263.7371545021952</v>
      </c>
      <c r="AC46" s="30">
        <v>6299</v>
      </c>
      <c r="AD46" s="104">
        <f t="shared" si="8"/>
        <v>0.14904992611970178</v>
      </c>
      <c r="AE46" s="31">
        <f t="shared" si="9"/>
        <v>0.16435352365419986</v>
      </c>
      <c r="AF46" s="31">
        <f t="shared" si="10"/>
        <v>0.16543081560872716</v>
      </c>
      <c r="AG46" s="31">
        <f t="shared" si="11"/>
        <v>0.14904992611970178</v>
      </c>
      <c r="AH46" s="31">
        <f t="shared" si="12"/>
        <v>0.99607074191312905</v>
      </c>
      <c r="AI46" s="31">
        <f t="shared" si="13"/>
        <v>0.99607074191312905</v>
      </c>
      <c r="AJ46" s="31" t="e">
        <f t="shared" si="14"/>
        <v>#VALUE!</v>
      </c>
      <c r="AK46" s="31">
        <f t="shared" si="15"/>
        <v>1</v>
      </c>
      <c r="AL46" s="32"/>
      <c r="AM46" s="32"/>
      <c r="AN46" s="29"/>
      <c r="AO46" s="29"/>
      <c r="AP46" s="35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C46" s="51"/>
    </row>
    <row r="47" spans="1:55" x14ac:dyDescent="0.45">
      <c r="A47" s="40" t="s">
        <v>67</v>
      </c>
      <c r="B47" s="102">
        <v>80</v>
      </c>
      <c r="C47" s="103" t="s">
        <v>90</v>
      </c>
      <c r="D47" s="29">
        <v>1460</v>
      </c>
      <c r="E47" s="27">
        <f t="shared" si="0"/>
        <v>5360.1345153719985</v>
      </c>
      <c r="F47" s="99"/>
      <c r="G47" s="29">
        <v>1479</v>
      </c>
      <c r="H47" s="27">
        <f t="shared" si="1"/>
        <v>5228.3863341227297</v>
      </c>
      <c r="I47" s="99"/>
      <c r="J47" s="29">
        <v>1487</v>
      </c>
      <c r="K47" s="48">
        <f t="shared" si="2"/>
        <v>5256.9512924806277</v>
      </c>
      <c r="L47" s="28"/>
      <c r="M47" s="29">
        <v>1460</v>
      </c>
      <c r="N47" s="27">
        <f t="shared" si="3"/>
        <v>5360.1345153719985</v>
      </c>
      <c r="O47" s="27"/>
      <c r="P47" s="29"/>
      <c r="Q47" s="27">
        <f t="shared" si="4"/>
        <v>24.750396689199999</v>
      </c>
      <c r="R47" s="27"/>
      <c r="S47" s="29"/>
      <c r="T47" s="27">
        <f t="shared" si="5"/>
        <v>24.750396689199999</v>
      </c>
      <c r="U47" s="29" t="s">
        <v>50</v>
      </c>
      <c r="V47" s="27" t="e">
        <f t="shared" si="6"/>
        <v>#VALUE!</v>
      </c>
      <c r="W47" s="27"/>
      <c r="X47" s="27">
        <f t="shared" si="7"/>
        <v>0</v>
      </c>
      <c r="Y47" s="99"/>
      <c r="Z47" s="27"/>
      <c r="AA47" s="27">
        <f t="shared" si="16"/>
        <v>5228.3863341227297</v>
      </c>
      <c r="AB47" s="27">
        <f>MIN(E47,H47,N47)</f>
        <v>5228.3863341227297</v>
      </c>
      <c r="AC47" s="30">
        <v>6299</v>
      </c>
      <c r="AD47" s="104">
        <f t="shared" si="8"/>
        <v>0.14904992611970178</v>
      </c>
      <c r="AE47" s="31">
        <f t="shared" si="9"/>
        <v>0.16996565579889986</v>
      </c>
      <c r="AF47" s="31">
        <f t="shared" si="10"/>
        <v>0.16543081560872716</v>
      </c>
      <c r="AG47" s="31">
        <f t="shared" si="11"/>
        <v>0.14904992611970178</v>
      </c>
      <c r="AH47" s="31">
        <f t="shared" si="12"/>
        <v>0.99607074191312905</v>
      </c>
      <c r="AI47" s="31">
        <f t="shared" si="13"/>
        <v>0.99607074191312905</v>
      </c>
      <c r="AJ47" s="31" t="e">
        <f t="shared" si="14"/>
        <v>#VALUE!</v>
      </c>
      <c r="AK47" s="31">
        <f t="shared" si="15"/>
        <v>1</v>
      </c>
      <c r="AL47" s="32"/>
      <c r="AM47" s="32"/>
      <c r="AN47" s="29"/>
      <c r="AO47" s="29"/>
      <c r="AP47" s="35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C47" s="51"/>
    </row>
    <row r="48" spans="1:55" x14ac:dyDescent="0.45">
      <c r="A48" s="40" t="s">
        <v>67</v>
      </c>
      <c r="B48" s="102">
        <v>80</v>
      </c>
      <c r="C48" s="103" t="s">
        <v>14</v>
      </c>
      <c r="D48" s="29">
        <v>1480</v>
      </c>
      <c r="E48" s="27">
        <f t="shared" si="0"/>
        <v>5433.2158040159984</v>
      </c>
      <c r="F48" s="99"/>
      <c r="G48" s="29">
        <v>1479</v>
      </c>
      <c r="H48" s="27">
        <f t="shared" si="1"/>
        <v>5228.3863341227297</v>
      </c>
      <c r="I48" s="99"/>
      <c r="J48" s="29">
        <v>1487</v>
      </c>
      <c r="K48" s="48">
        <f t="shared" si="2"/>
        <v>5256.9512924806277</v>
      </c>
      <c r="L48" s="28"/>
      <c r="M48" s="29">
        <v>1460</v>
      </c>
      <c r="N48" s="27">
        <f t="shared" si="3"/>
        <v>5360.1345153719985</v>
      </c>
      <c r="O48" s="27"/>
      <c r="P48" s="29"/>
      <c r="Q48" s="27">
        <f t="shared" si="4"/>
        <v>24.750396689199999</v>
      </c>
      <c r="R48" s="27"/>
      <c r="S48" s="29"/>
      <c r="T48" s="27">
        <f t="shared" si="5"/>
        <v>24.750396689199999</v>
      </c>
      <c r="U48" s="29" t="s">
        <v>50</v>
      </c>
      <c r="V48" s="27" t="e">
        <f t="shared" si="6"/>
        <v>#VALUE!</v>
      </c>
      <c r="W48" s="27"/>
      <c r="X48" s="27">
        <f t="shared" si="7"/>
        <v>0</v>
      </c>
      <c r="Y48" s="99"/>
      <c r="Z48" s="27"/>
      <c r="AA48" s="27">
        <f t="shared" si="16"/>
        <v>5228.3863341227297</v>
      </c>
      <c r="AB48" s="27">
        <f>MIN(E48,H48,N48)</f>
        <v>5228.3863341227297</v>
      </c>
      <c r="AC48" s="30">
        <v>6299</v>
      </c>
      <c r="AD48" s="104">
        <f t="shared" si="8"/>
        <v>0.13744787997840952</v>
      </c>
      <c r="AE48" s="31">
        <f t="shared" si="9"/>
        <v>0.16996565579889986</v>
      </c>
      <c r="AF48" s="31">
        <f t="shared" si="10"/>
        <v>0.16543081560872716</v>
      </c>
      <c r="AG48" s="31">
        <f t="shared" si="11"/>
        <v>0.14904992611970178</v>
      </c>
      <c r="AH48" s="31">
        <f t="shared" si="12"/>
        <v>0.99607074191312905</v>
      </c>
      <c r="AI48" s="31">
        <f t="shared" si="13"/>
        <v>0.99607074191312905</v>
      </c>
      <c r="AJ48" s="31" t="e">
        <f t="shared" si="14"/>
        <v>#VALUE!</v>
      </c>
      <c r="AK48" s="31">
        <f t="shared" si="15"/>
        <v>1</v>
      </c>
      <c r="AL48" s="32"/>
      <c r="AM48" s="32"/>
      <c r="AN48" s="29"/>
      <c r="AO48" s="29"/>
      <c r="AP48" s="35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C48" s="51"/>
    </row>
    <row r="49" spans="1:55" x14ac:dyDescent="0.45">
      <c r="A49" s="40" t="s">
        <v>80</v>
      </c>
      <c r="B49" s="97">
        <v>150</v>
      </c>
      <c r="C49" s="98" t="s">
        <v>13</v>
      </c>
      <c r="D49" s="29">
        <v>627</v>
      </c>
      <c r="E49" s="48">
        <f t="shared" si="0"/>
        <v>2316.2988433493997</v>
      </c>
      <c r="F49" s="99"/>
      <c r="G49" s="29" t="s">
        <v>50</v>
      </c>
      <c r="H49" s="27" t="e">
        <f t="shared" si="1"/>
        <v>#VALUE!</v>
      </c>
      <c r="I49" s="99"/>
      <c r="J49" s="29" t="s">
        <v>50</v>
      </c>
      <c r="K49" s="27" t="e">
        <f t="shared" si="2"/>
        <v>#VALUE!</v>
      </c>
      <c r="L49" s="28"/>
      <c r="M49" s="29" t="s">
        <v>50</v>
      </c>
      <c r="N49" s="27" t="e">
        <f t="shared" si="3"/>
        <v>#VALUE!</v>
      </c>
      <c r="O49" s="27"/>
      <c r="P49" s="29"/>
      <c r="Q49" s="27">
        <f t="shared" si="4"/>
        <v>24.750396689199999</v>
      </c>
      <c r="R49" s="27"/>
      <c r="S49" s="29"/>
      <c r="T49" s="27">
        <f t="shared" si="5"/>
        <v>24.750396689199999</v>
      </c>
      <c r="U49" s="29" t="s">
        <v>50</v>
      </c>
      <c r="V49" s="27" t="e">
        <f t="shared" si="6"/>
        <v>#VALUE!</v>
      </c>
      <c r="W49" s="27"/>
      <c r="X49" s="27">
        <f t="shared" si="7"/>
        <v>0</v>
      </c>
      <c r="Y49" s="99"/>
      <c r="Z49" s="27">
        <f>Y49*1.01*2.9275*1.235</f>
        <v>0</v>
      </c>
      <c r="AA49" s="27">
        <f>MIN(E49)</f>
        <v>2316.2988433493997</v>
      </c>
      <c r="AB49" s="27" t="e">
        <f>MIN(E49,N49,X49)</f>
        <v>#VALUE!</v>
      </c>
      <c r="AC49" s="30">
        <v>2489</v>
      </c>
      <c r="AD49" s="104">
        <f>(AC49-E49)/AC49</f>
        <v>6.9385760004258862E-2</v>
      </c>
      <c r="AE49" s="31" t="e">
        <f>(AC49-H49)/AC49</f>
        <v>#VALUE!</v>
      </c>
      <c r="AF49" s="31" t="e">
        <f>(AC49-K49)/AC49</f>
        <v>#VALUE!</v>
      </c>
      <c r="AG49" s="31" t="e">
        <f>(AC49-N49)/AC49</f>
        <v>#VALUE!</v>
      </c>
      <c r="AH49" s="31">
        <f>(AC49-Q49)/AC49</f>
        <v>0.99005608811201284</v>
      </c>
      <c r="AI49" s="31">
        <f>(AC49-T49)/AC49</f>
        <v>0.99005608811201284</v>
      </c>
      <c r="AJ49" s="31" t="e">
        <f>(AC49-V49)/AC49</f>
        <v>#VALUE!</v>
      </c>
      <c r="AK49" s="31">
        <f>(AC49-X49)/AC49</f>
        <v>1</v>
      </c>
      <c r="AL49" s="32"/>
      <c r="AM49" s="32"/>
      <c r="AN49" s="29"/>
      <c r="AO49" s="29"/>
      <c r="AP49" s="35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C49" s="51"/>
    </row>
    <row r="50" spans="1:55" x14ac:dyDescent="0.45">
      <c r="A50" s="40" t="s">
        <v>80</v>
      </c>
      <c r="B50" s="97">
        <v>120</v>
      </c>
      <c r="C50" s="98" t="s">
        <v>92</v>
      </c>
      <c r="D50" s="29">
        <v>627</v>
      </c>
      <c r="E50" s="48">
        <f t="shared" si="0"/>
        <v>2316.2988433493997</v>
      </c>
      <c r="F50" s="99"/>
      <c r="G50" s="29" t="s">
        <v>50</v>
      </c>
      <c r="H50" s="27" t="e">
        <f t="shared" si="1"/>
        <v>#VALUE!</v>
      </c>
      <c r="I50" s="99"/>
      <c r="J50" s="29" t="s">
        <v>50</v>
      </c>
      <c r="K50" s="27" t="e">
        <f t="shared" si="2"/>
        <v>#VALUE!</v>
      </c>
      <c r="L50" s="28"/>
      <c r="M50" s="29" t="s">
        <v>50</v>
      </c>
      <c r="N50" s="27" t="e">
        <f t="shared" si="3"/>
        <v>#VALUE!</v>
      </c>
      <c r="O50" s="27"/>
      <c r="P50" s="29"/>
      <c r="Q50" s="27">
        <f t="shared" si="4"/>
        <v>24.750396689199999</v>
      </c>
      <c r="R50" s="27"/>
      <c r="S50" s="29"/>
      <c r="T50" s="27">
        <f t="shared" si="5"/>
        <v>24.750396689199999</v>
      </c>
      <c r="U50" s="29" t="s">
        <v>50</v>
      </c>
      <c r="V50" s="27" t="e">
        <f t="shared" si="6"/>
        <v>#VALUE!</v>
      </c>
      <c r="W50" s="27"/>
      <c r="X50" s="27">
        <f t="shared" si="7"/>
        <v>0</v>
      </c>
      <c r="Y50" s="99"/>
      <c r="Z50" s="27">
        <f>Y50*1.01*2.9275*1.235</f>
        <v>0</v>
      </c>
      <c r="AA50" s="27">
        <f>MIN(E50)</f>
        <v>2316.2988433493997</v>
      </c>
      <c r="AB50" s="27" t="e">
        <f>MIN(E50,N50,X50)</f>
        <v>#VALUE!</v>
      </c>
      <c r="AC50" s="30">
        <v>2489</v>
      </c>
      <c r="AD50" s="104">
        <f>(AC50-E50)/AC50</f>
        <v>6.9385760004258862E-2</v>
      </c>
      <c r="AE50" s="31" t="e">
        <f>(AC50-H50)/AC50</f>
        <v>#VALUE!</v>
      </c>
      <c r="AF50" s="31" t="e">
        <f>(AC50-K50)/AC50</f>
        <v>#VALUE!</v>
      </c>
      <c r="AG50" s="31" t="e">
        <f>(AC50-N50)/AC50</f>
        <v>#VALUE!</v>
      </c>
      <c r="AH50" s="31">
        <f>(AC50-Q50)/AC50</f>
        <v>0.99005608811201284</v>
      </c>
      <c r="AI50" s="31">
        <f>(AC50-T50)/AC50</f>
        <v>0.99005608811201284</v>
      </c>
      <c r="AJ50" s="31" t="e">
        <f>(AC50-V50)/AC50</f>
        <v>#VALUE!</v>
      </c>
      <c r="AK50" s="31">
        <f>(AC50-X50)/AC50</f>
        <v>1</v>
      </c>
      <c r="AL50" s="32"/>
      <c r="AM50" s="32"/>
      <c r="AN50" s="29"/>
      <c r="AO50" s="29"/>
      <c r="AP50" s="35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</row>
    <row r="51" spans="1:55" x14ac:dyDescent="0.45">
      <c r="A51" s="40" t="s">
        <v>80</v>
      </c>
      <c r="B51" s="97">
        <v>150</v>
      </c>
      <c r="C51" s="98" t="s">
        <v>20</v>
      </c>
      <c r="D51" s="29">
        <v>627</v>
      </c>
      <c r="E51" s="48">
        <f t="shared" si="0"/>
        <v>2316.2988433493997</v>
      </c>
      <c r="F51" s="99"/>
      <c r="G51" s="29" t="s">
        <v>50</v>
      </c>
      <c r="H51" s="27" t="e">
        <f t="shared" si="1"/>
        <v>#VALUE!</v>
      </c>
      <c r="I51" s="99"/>
      <c r="J51" s="29" t="s">
        <v>50</v>
      </c>
      <c r="K51" s="27" t="e">
        <f t="shared" si="2"/>
        <v>#VALUE!</v>
      </c>
      <c r="L51" s="28"/>
      <c r="M51" s="29" t="s">
        <v>50</v>
      </c>
      <c r="N51" s="27" t="e">
        <f t="shared" si="3"/>
        <v>#VALUE!</v>
      </c>
      <c r="O51" s="27"/>
      <c r="P51" s="29"/>
      <c r="Q51" s="27">
        <f t="shared" si="4"/>
        <v>24.750396689199999</v>
      </c>
      <c r="R51" s="27"/>
      <c r="S51" s="29"/>
      <c r="T51" s="27">
        <f t="shared" si="5"/>
        <v>24.750396689199999</v>
      </c>
      <c r="U51" s="29" t="s">
        <v>50</v>
      </c>
      <c r="V51" s="27" t="e">
        <f t="shared" si="6"/>
        <v>#VALUE!</v>
      </c>
      <c r="W51" s="27"/>
      <c r="X51" s="27">
        <f t="shared" si="7"/>
        <v>0</v>
      </c>
      <c r="Y51" s="99"/>
      <c r="Z51" s="27">
        <f>Y51*1.01*2.9275*1.235</f>
        <v>0</v>
      </c>
      <c r="AA51" s="27">
        <f>MIN(E51)</f>
        <v>2316.2988433493997</v>
      </c>
      <c r="AB51" s="27" t="e">
        <f>MIN(E51,N51,X51)</f>
        <v>#VALUE!</v>
      </c>
      <c r="AC51" s="30">
        <v>2489</v>
      </c>
      <c r="AD51" s="104">
        <f>(AC51-E51)/AC51</f>
        <v>6.9385760004258862E-2</v>
      </c>
      <c r="AE51" s="31" t="e">
        <f>(AC51-H51)/AC51</f>
        <v>#VALUE!</v>
      </c>
      <c r="AF51" s="31" t="e">
        <f>(AC51-K51)/AC51</f>
        <v>#VALUE!</v>
      </c>
      <c r="AG51" s="31" t="e">
        <f>(AC51-N51)/AC51</f>
        <v>#VALUE!</v>
      </c>
      <c r="AH51" s="31">
        <f>(AC51-Q51)/AC51</f>
        <v>0.99005608811201284</v>
      </c>
      <c r="AI51" s="31">
        <f>(AC51-T51)/AC51</f>
        <v>0.99005608811201284</v>
      </c>
      <c r="AJ51" s="31" t="e">
        <f>(AC51-V51)/AC51</f>
        <v>#VALUE!</v>
      </c>
      <c r="AK51" s="31">
        <f>(AC51-X51)/AC51</f>
        <v>1</v>
      </c>
      <c r="AL51" s="32"/>
      <c r="AM51" s="32"/>
      <c r="AN51" s="29"/>
      <c r="AO51" s="29"/>
      <c r="AP51" s="35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</row>
    <row r="52" spans="1:55" s="26" customFormat="1" ht="33.6" customHeight="1" x14ac:dyDescent="0.45">
      <c r="A52" s="105"/>
      <c r="B52" s="62">
        <f>SUM(B13:B51)</f>
        <v>5970</v>
      </c>
      <c r="C52" s="57"/>
      <c r="D52" s="33"/>
      <c r="E52" s="33"/>
      <c r="F52" s="33"/>
      <c r="G52" s="105"/>
      <c r="H52" s="105"/>
      <c r="I52" s="105"/>
      <c r="J52" s="105"/>
      <c r="K52" s="105"/>
      <c r="L52" s="105"/>
      <c r="M52" s="105"/>
      <c r="N52" s="105"/>
      <c r="O52" s="105"/>
      <c r="P52" s="33"/>
      <c r="Q52" s="105"/>
      <c r="R52" s="105"/>
      <c r="S52" s="33"/>
      <c r="T52" s="106"/>
      <c r="U52" s="106"/>
      <c r="V52" s="106"/>
      <c r="W52" s="106" t="s">
        <v>69</v>
      </c>
      <c r="X52" s="106"/>
      <c r="Y52" s="106"/>
      <c r="Z52" s="106"/>
      <c r="AA52" s="106"/>
      <c r="AB52" s="106"/>
      <c r="AC52" s="36"/>
      <c r="AD52" s="36"/>
      <c r="AE52" s="36"/>
      <c r="AF52" s="36"/>
      <c r="AG52" s="36"/>
      <c r="AH52" s="36"/>
      <c r="AI52" s="36"/>
      <c r="AJ52" s="36"/>
      <c r="AK52" s="36"/>
      <c r="AL52" s="32" t="e">
        <f>SUM(#REF!)</f>
        <v>#REF!</v>
      </c>
      <c r="AM52" s="32">
        <f>SUM(AM13:AM51)</f>
        <v>0</v>
      </c>
      <c r="AN52" s="37" t="e">
        <f>SUM(#REF!)</f>
        <v>#REF!</v>
      </c>
      <c r="AO52" s="37">
        <f>SUM(AO13:AO51)</f>
        <v>0</v>
      </c>
      <c r="AP52" s="45"/>
      <c r="AQ52" s="113">
        <f>SUM(AQ13:BA51)</f>
        <v>0</v>
      </c>
      <c r="AR52" s="114"/>
      <c r="AS52" s="114"/>
      <c r="AT52" s="114"/>
      <c r="AU52" s="114"/>
      <c r="AV52" s="114"/>
      <c r="AW52" s="114"/>
      <c r="AX52" s="114"/>
      <c r="AY52" s="114"/>
      <c r="AZ52" s="114"/>
      <c r="BA52" s="115"/>
      <c r="BC52" s="52"/>
    </row>
    <row r="53" spans="1:55" s="26" customFormat="1" x14ac:dyDescent="0.45">
      <c r="A53" s="40" t="s">
        <v>107</v>
      </c>
      <c r="B53" s="63"/>
      <c r="C53" s="63"/>
      <c r="D53" s="67" t="s">
        <v>108</v>
      </c>
      <c r="E53" s="107"/>
      <c r="F53" s="65"/>
      <c r="G53" s="69" t="s">
        <v>110</v>
      </c>
      <c r="H53" s="107"/>
      <c r="I53" s="107"/>
      <c r="J53" s="70" t="s">
        <v>112</v>
      </c>
      <c r="K53" s="107"/>
      <c r="L53" s="107"/>
      <c r="M53" s="71" t="s">
        <v>115</v>
      </c>
      <c r="N53" s="107"/>
      <c r="O53" s="107"/>
      <c r="P53" s="65"/>
      <c r="Q53" s="107"/>
      <c r="R53" s="107"/>
      <c r="S53" s="65"/>
      <c r="T53" s="107"/>
      <c r="U53" s="106"/>
      <c r="V53" s="106"/>
      <c r="W53" s="106"/>
      <c r="X53" s="106"/>
      <c r="Y53" s="106"/>
      <c r="Z53" s="106"/>
      <c r="AA53" s="106"/>
      <c r="AB53" s="106"/>
      <c r="AC53" s="36"/>
      <c r="AD53" s="36"/>
      <c r="AE53" s="36"/>
      <c r="AF53" s="36"/>
      <c r="AG53" s="36"/>
      <c r="AH53" s="36"/>
      <c r="AI53" s="36"/>
      <c r="AJ53" s="36"/>
      <c r="AK53" s="36"/>
      <c r="AL53" s="59"/>
      <c r="AM53" s="59"/>
      <c r="AN53" s="60"/>
      <c r="AO53" s="60"/>
      <c r="AP53" s="45"/>
      <c r="AQ53" s="61"/>
      <c r="AR53" s="61"/>
      <c r="AS53" s="61"/>
      <c r="AT53" s="61"/>
      <c r="AU53" s="61"/>
      <c r="AV53" s="61"/>
      <c r="AW53" s="61"/>
      <c r="AX53" s="61"/>
      <c r="AY53" s="61"/>
      <c r="AZ53" s="61"/>
      <c r="BA53" s="61"/>
      <c r="BC53" s="52"/>
    </row>
    <row r="54" spans="1:55" s="26" customFormat="1" ht="40.5" x14ac:dyDescent="0.45">
      <c r="A54" s="40" t="s">
        <v>99</v>
      </c>
      <c r="B54" s="63"/>
      <c r="C54" s="63"/>
      <c r="D54" s="67" t="s">
        <v>100</v>
      </c>
      <c r="E54" s="107"/>
      <c r="F54" s="65"/>
      <c r="G54" s="69" t="s">
        <v>102</v>
      </c>
      <c r="H54" s="107"/>
      <c r="I54" s="107"/>
      <c r="J54" s="70" t="s">
        <v>113</v>
      </c>
      <c r="K54" s="107"/>
      <c r="L54" s="107"/>
      <c r="M54" s="71" t="s">
        <v>100</v>
      </c>
      <c r="N54" s="107"/>
      <c r="O54" s="107"/>
      <c r="P54" s="65"/>
      <c r="Q54" s="107"/>
      <c r="R54" s="107"/>
      <c r="S54" s="65"/>
      <c r="T54" s="107"/>
      <c r="U54" s="106"/>
      <c r="V54" s="106"/>
      <c r="W54" s="106"/>
      <c r="X54" s="106"/>
      <c r="Y54" s="106"/>
      <c r="Z54" s="106"/>
      <c r="AA54" s="106"/>
      <c r="AB54" s="106"/>
      <c r="AC54" s="36"/>
      <c r="AD54" s="36"/>
      <c r="AE54" s="36"/>
      <c r="AF54" s="36"/>
      <c r="AG54" s="36"/>
      <c r="AH54" s="36"/>
      <c r="AI54" s="36"/>
      <c r="AJ54" s="36"/>
      <c r="AK54" s="36"/>
      <c r="AL54" s="59"/>
      <c r="AM54" s="59"/>
      <c r="AN54" s="60"/>
      <c r="AO54" s="60"/>
      <c r="AP54" s="45"/>
      <c r="AQ54" s="61"/>
      <c r="AR54" s="61"/>
      <c r="AS54" s="61"/>
      <c r="AT54" s="61"/>
      <c r="AU54" s="61"/>
      <c r="AV54" s="61"/>
      <c r="AW54" s="61"/>
      <c r="AX54" s="61"/>
      <c r="AY54" s="61"/>
      <c r="AZ54" s="61"/>
      <c r="BA54" s="61"/>
      <c r="BC54" s="52"/>
    </row>
    <row r="55" spans="1:55" s="26" customFormat="1" x14ac:dyDescent="0.45">
      <c r="A55" s="40" t="s">
        <v>103</v>
      </c>
      <c r="B55" s="63"/>
      <c r="C55" s="63"/>
      <c r="D55" s="67" t="s">
        <v>109</v>
      </c>
      <c r="E55" s="107"/>
      <c r="F55" s="64"/>
      <c r="G55" s="69" t="s">
        <v>104</v>
      </c>
      <c r="H55" s="108"/>
      <c r="I55" s="108"/>
      <c r="J55" s="70"/>
      <c r="K55" s="108"/>
      <c r="L55" s="108"/>
      <c r="M55" s="71" t="s">
        <v>116</v>
      </c>
      <c r="N55" s="108"/>
      <c r="O55" s="108"/>
      <c r="P55" s="64"/>
      <c r="Q55" s="108"/>
      <c r="R55" s="108"/>
      <c r="S55" s="64"/>
      <c r="T55" s="108"/>
      <c r="U55" s="106"/>
      <c r="V55" s="106"/>
      <c r="W55" s="106"/>
      <c r="X55" s="106"/>
      <c r="Y55" s="106"/>
      <c r="Z55" s="106"/>
      <c r="AA55" s="106"/>
      <c r="AB55" s="106"/>
      <c r="AC55" s="36"/>
      <c r="AD55" s="36"/>
      <c r="AE55" s="36"/>
      <c r="AF55" s="36"/>
      <c r="AG55" s="36"/>
      <c r="AH55" s="36"/>
      <c r="AI55" s="36"/>
      <c r="AJ55" s="36"/>
      <c r="AK55" s="36"/>
      <c r="AL55" s="59"/>
      <c r="AM55" s="59"/>
      <c r="AN55" s="60"/>
      <c r="AO55" s="60"/>
      <c r="AP55" s="45"/>
      <c r="AQ55" s="61"/>
      <c r="AR55" s="61"/>
      <c r="AS55" s="61"/>
      <c r="AT55" s="61"/>
      <c r="AU55" s="61"/>
      <c r="AV55" s="61"/>
      <c r="AW55" s="61"/>
      <c r="AX55" s="61"/>
      <c r="AY55" s="61"/>
      <c r="AZ55" s="61"/>
      <c r="BA55" s="61"/>
      <c r="BC55" s="52"/>
    </row>
    <row r="56" spans="1:55" s="26" customFormat="1" ht="30.4" x14ac:dyDescent="0.45">
      <c r="A56" s="68" t="s">
        <v>96</v>
      </c>
      <c r="B56" s="63"/>
      <c r="C56" s="63"/>
      <c r="D56" s="67" t="s">
        <v>98</v>
      </c>
      <c r="E56" s="107"/>
      <c r="F56" s="64"/>
      <c r="G56" s="69" t="s">
        <v>111</v>
      </c>
      <c r="H56" s="108"/>
      <c r="I56" s="108"/>
      <c r="J56" s="70" t="s">
        <v>50</v>
      </c>
      <c r="K56" s="108"/>
      <c r="L56" s="108"/>
      <c r="M56" s="71" t="s">
        <v>117</v>
      </c>
      <c r="N56" s="108"/>
      <c r="O56" s="108"/>
      <c r="P56" s="64"/>
      <c r="Q56" s="108"/>
      <c r="R56" s="108"/>
      <c r="S56" s="64"/>
      <c r="T56" s="108"/>
      <c r="U56" s="106"/>
      <c r="V56" s="106"/>
      <c r="W56" s="106"/>
      <c r="X56" s="106"/>
      <c r="Y56" s="106"/>
      <c r="Z56" s="106"/>
      <c r="AA56" s="106"/>
      <c r="AB56" s="106"/>
      <c r="AC56" s="36"/>
      <c r="AD56" s="36"/>
      <c r="AE56" s="36"/>
      <c r="AF56" s="36"/>
      <c r="AG56" s="36"/>
      <c r="AH56" s="36"/>
      <c r="AI56" s="36"/>
      <c r="AJ56" s="36"/>
      <c r="AK56" s="36"/>
      <c r="AL56" s="59"/>
      <c r="AM56" s="59"/>
      <c r="AN56" s="60"/>
      <c r="AO56" s="60"/>
      <c r="AP56" s="45"/>
      <c r="AQ56" s="61"/>
      <c r="AR56" s="61"/>
      <c r="AS56" s="61"/>
      <c r="AT56" s="61"/>
      <c r="AU56" s="61"/>
      <c r="AV56" s="61"/>
      <c r="AW56" s="61"/>
      <c r="AX56" s="61"/>
      <c r="AY56" s="61"/>
      <c r="AZ56" s="61"/>
      <c r="BA56" s="61"/>
      <c r="BC56" s="52"/>
    </row>
    <row r="57" spans="1:55" ht="40.5" x14ac:dyDescent="0.45">
      <c r="A57" s="40" t="s">
        <v>97</v>
      </c>
      <c r="B57" s="63"/>
      <c r="C57" s="66"/>
      <c r="D57" s="67"/>
      <c r="E57" s="107"/>
      <c r="F57" s="99"/>
      <c r="G57" s="69" t="s">
        <v>106</v>
      </c>
      <c r="H57" s="109"/>
      <c r="I57" s="108"/>
      <c r="J57" s="70" t="s">
        <v>114</v>
      </c>
      <c r="K57" s="110"/>
      <c r="L57" s="110"/>
      <c r="M57" s="67"/>
      <c r="N57" s="109"/>
      <c r="O57" s="110"/>
      <c r="P57" s="110"/>
      <c r="Q57" s="110"/>
      <c r="R57" s="110"/>
      <c r="S57" s="109"/>
      <c r="T57" s="110"/>
      <c r="U57" s="111"/>
      <c r="V57" s="111"/>
      <c r="W57" s="111"/>
      <c r="X57" s="111"/>
      <c r="Y57" s="111"/>
      <c r="Z57" s="111"/>
      <c r="AA57" s="111"/>
      <c r="AB57" s="111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35"/>
      <c r="AQ57" s="5"/>
      <c r="AR57" s="5"/>
      <c r="AS57" s="5"/>
      <c r="AT57" s="5"/>
      <c r="AU57" s="5"/>
      <c r="AV57" s="5"/>
      <c r="AW57" s="5"/>
      <c r="AX57" s="5"/>
      <c r="AY57" s="5"/>
      <c r="AZ57" s="5"/>
    </row>
    <row r="58" spans="1:55" s="1" customFormat="1" x14ac:dyDescent="0.45">
      <c r="A58" s="41"/>
      <c r="B58" s="34"/>
      <c r="C58" s="58"/>
      <c r="D58" s="34"/>
      <c r="E58" s="34"/>
      <c r="F58" s="34"/>
      <c r="G58" s="38"/>
      <c r="H58" s="42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</row>
    <row r="59" spans="1:55" x14ac:dyDescent="0.45"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</row>
    <row r="60" spans="1:55" x14ac:dyDescent="0.45"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</row>
    <row r="61" spans="1:55" x14ac:dyDescent="0.45"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</row>
    <row r="62" spans="1:55" x14ac:dyDescent="0.45"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</row>
    <row r="63" spans="1:55" x14ac:dyDescent="0.45"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</row>
    <row r="64" spans="1:55" x14ac:dyDescent="0.45"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</row>
    <row r="65" spans="1:53" x14ac:dyDescent="0.45"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</row>
    <row r="66" spans="1:53" x14ac:dyDescent="0.45"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</row>
    <row r="67" spans="1:53" x14ac:dyDescent="0.45"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</row>
    <row r="68" spans="1:53" s="8" customFormat="1" x14ac:dyDescent="0.45">
      <c r="C68" s="11"/>
      <c r="P68" s="8" t="s">
        <v>46</v>
      </c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/>
      <c r="AP68" s="1"/>
      <c r="AQ68"/>
      <c r="AR68"/>
      <c r="AS68"/>
      <c r="AT68"/>
      <c r="AU68"/>
      <c r="AV68"/>
      <c r="AW68"/>
      <c r="AX68"/>
      <c r="AY68"/>
      <c r="AZ68"/>
      <c r="BA68"/>
    </row>
    <row r="69" spans="1:53" x14ac:dyDescent="0.45"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</row>
    <row r="70" spans="1:53" x14ac:dyDescent="0.45"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</row>
    <row r="71" spans="1:53" x14ac:dyDescent="0.45"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</row>
    <row r="72" spans="1:53" x14ac:dyDescent="0.45"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</row>
    <row r="73" spans="1:53" x14ac:dyDescent="0.45"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</row>
    <row r="74" spans="1:53" x14ac:dyDescent="0.45"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</row>
    <row r="75" spans="1:53" x14ac:dyDescent="0.45"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</row>
    <row r="76" spans="1:53" x14ac:dyDescent="0.45"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</row>
    <row r="77" spans="1:53" x14ac:dyDescent="0.45"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</row>
    <row r="78" spans="1:53" x14ac:dyDescent="0.45">
      <c r="A78" s="38"/>
      <c r="B78" s="38"/>
      <c r="C78" s="54"/>
      <c r="D78" s="38"/>
      <c r="E78" s="38"/>
      <c r="F78" s="38"/>
      <c r="G78" s="38"/>
      <c r="H78" s="38"/>
      <c r="I78" s="38"/>
      <c r="J78" s="38"/>
      <c r="K78" s="38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</row>
    <row r="79" spans="1:53" x14ac:dyDescent="0.45">
      <c r="A79" s="38"/>
      <c r="B79" s="38"/>
      <c r="C79" s="54"/>
      <c r="D79" s="38"/>
      <c r="E79" s="38"/>
      <c r="F79" s="38"/>
      <c r="G79" s="38"/>
      <c r="H79" s="38"/>
      <c r="I79" s="38"/>
      <c r="J79" s="38"/>
      <c r="K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</row>
    <row r="80" spans="1:53" x14ac:dyDescent="0.45">
      <c r="A80" s="38"/>
      <c r="B80" s="38"/>
      <c r="C80" s="54"/>
      <c r="D80" s="38"/>
      <c r="E80" s="38"/>
      <c r="F80" s="38"/>
      <c r="G80" s="38"/>
      <c r="H80" s="38"/>
      <c r="I80" s="38"/>
      <c r="J80" s="38"/>
      <c r="K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</row>
    <row r="81" spans="1:42" x14ac:dyDescent="0.45">
      <c r="A81" s="38"/>
      <c r="B81" s="38"/>
      <c r="C81" s="54"/>
      <c r="D81" s="38"/>
      <c r="E81" s="38"/>
      <c r="F81" s="38"/>
      <c r="G81" s="38"/>
      <c r="H81" s="38"/>
      <c r="I81" s="38"/>
      <c r="J81" s="38"/>
      <c r="K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</row>
    <row r="82" spans="1:42" x14ac:dyDescent="0.45">
      <c r="A82" s="38"/>
      <c r="B82" s="38"/>
      <c r="C82" s="54"/>
      <c r="D82" s="38"/>
      <c r="E82" s="38"/>
      <c r="F82" s="38"/>
      <c r="G82" s="38"/>
      <c r="H82" s="38"/>
      <c r="I82" s="38"/>
      <c r="J82" s="38"/>
      <c r="K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</row>
    <row r="83" spans="1:42" x14ac:dyDescent="0.45">
      <c r="A83" s="38"/>
      <c r="B83" s="38"/>
      <c r="C83" s="54"/>
      <c r="D83" s="38"/>
      <c r="E83" s="38"/>
      <c r="F83" s="38"/>
      <c r="G83" s="38"/>
      <c r="H83" s="38"/>
      <c r="I83" s="38"/>
      <c r="J83" s="38"/>
      <c r="K83" s="38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</row>
    <row r="84" spans="1:42" x14ac:dyDescent="0.45">
      <c r="A84" s="38"/>
      <c r="B84" s="38"/>
      <c r="C84" s="54"/>
      <c r="D84" s="38"/>
      <c r="E84" s="38"/>
      <c r="F84" s="38"/>
      <c r="G84" s="38"/>
      <c r="H84" s="38"/>
      <c r="I84" s="38"/>
      <c r="J84" s="38"/>
      <c r="K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P84"/>
    </row>
    <row r="85" spans="1:42" x14ac:dyDescent="0.45">
      <c r="A85" s="38"/>
      <c r="B85" s="38"/>
      <c r="C85" s="54"/>
      <c r="D85" s="38"/>
      <c r="E85" s="38"/>
      <c r="F85" s="38"/>
      <c r="G85" s="38"/>
      <c r="H85" s="38"/>
      <c r="I85" s="38"/>
      <c r="J85" s="38"/>
      <c r="K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P85"/>
    </row>
    <row r="86" spans="1:42" x14ac:dyDescent="0.45"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P86"/>
    </row>
    <row r="87" spans="1:42" x14ac:dyDescent="0.45"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P87"/>
    </row>
    <row r="88" spans="1:42" x14ac:dyDescent="0.45"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P88"/>
    </row>
  </sheetData>
  <autoFilter ref="A12:AZ58">
    <filterColumn colId="0">
      <colorFilter dxfId="4"/>
    </filterColumn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</autoFilter>
  <mergeCells count="2">
    <mergeCell ref="AQ12:BA12"/>
    <mergeCell ref="AQ52:BA52"/>
  </mergeCells>
  <conditionalFormatting sqref="A58:A65536 A1:A12 A52">
    <cfRule type="duplicateValues" dxfId="3" priority="1" stopIfTrue="1"/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4"/>
  <sheetViews>
    <sheetView showZeros="0" zoomScale="70" zoomScaleNormal="70" workbookViewId="0">
      <selection activeCell="A26" sqref="A26"/>
    </sheetView>
  </sheetViews>
  <sheetFormatPr defaultColWidth="10.75" defaultRowHeight="14.25" x14ac:dyDescent="0.3"/>
  <cols>
    <col min="1" max="1" width="65.75" style="75" customWidth="1"/>
    <col min="2" max="3" width="13" style="76" customWidth="1"/>
    <col min="4" max="4" width="24.83203125" style="76" customWidth="1"/>
    <col min="5" max="5" width="19.25" style="76" customWidth="1"/>
    <col min="6" max="6" width="17.83203125" style="76" customWidth="1"/>
    <col min="7" max="7" width="19.25" style="76" customWidth="1"/>
    <col min="8" max="8" width="14.83203125" style="75" customWidth="1"/>
    <col min="9" max="10" width="22.25" style="75" customWidth="1"/>
    <col min="11" max="11" width="17.75" style="75" customWidth="1"/>
    <col min="12" max="13" width="20.4140625" style="75" customWidth="1"/>
    <col min="14" max="14" width="17.75" style="75" customWidth="1"/>
    <col min="15" max="16" width="21.1640625" style="75" customWidth="1"/>
    <col min="17" max="17" width="23.83203125" style="75" customWidth="1"/>
    <col min="18" max="18" width="19.83203125" style="75" customWidth="1"/>
    <col min="19" max="20" width="22.25" style="75" customWidth="1"/>
    <col min="21" max="21" width="23.1640625" style="75" customWidth="1"/>
    <col min="22" max="22" width="14.1640625" style="75" customWidth="1"/>
    <col min="23" max="23" width="13.83203125" style="75" customWidth="1"/>
    <col min="24" max="24" width="14" style="75" customWidth="1"/>
    <col min="25" max="25" width="15" style="75" customWidth="1"/>
    <col min="26" max="26" width="15.75" style="75" customWidth="1"/>
    <col min="27" max="27" width="13.25" style="75" customWidth="1"/>
    <col min="28" max="28" width="18.25" style="75" customWidth="1"/>
    <col min="29" max="16384" width="10.75" style="75"/>
  </cols>
  <sheetData>
    <row r="1" spans="1:27" ht="97.5" customHeight="1" x14ac:dyDescent="0.3">
      <c r="A1" s="96" t="s">
        <v>156</v>
      </c>
      <c r="B1" s="95" t="s">
        <v>155</v>
      </c>
      <c r="C1" s="95" t="s">
        <v>154</v>
      </c>
      <c r="D1" s="94" t="s">
        <v>153</v>
      </c>
      <c r="E1" s="94" t="s">
        <v>152</v>
      </c>
      <c r="F1" s="93" t="s">
        <v>141</v>
      </c>
      <c r="G1" s="94" t="s">
        <v>151</v>
      </c>
      <c r="H1" s="94" t="s">
        <v>150</v>
      </c>
      <c r="I1" s="93" t="s">
        <v>141</v>
      </c>
      <c r="J1" s="94" t="s">
        <v>149</v>
      </c>
      <c r="K1" s="94" t="s">
        <v>148</v>
      </c>
      <c r="L1" s="93" t="s">
        <v>141</v>
      </c>
      <c r="M1" s="94" t="s">
        <v>147</v>
      </c>
      <c r="N1" s="94" t="s">
        <v>146</v>
      </c>
      <c r="O1" s="93" t="s">
        <v>141</v>
      </c>
      <c r="P1" s="94" t="s">
        <v>145</v>
      </c>
      <c r="Q1" s="94" t="s">
        <v>144</v>
      </c>
      <c r="R1" s="93" t="s">
        <v>141</v>
      </c>
      <c r="S1" s="94" t="s">
        <v>143</v>
      </c>
      <c r="T1" s="94" t="s">
        <v>142</v>
      </c>
      <c r="U1" s="93" t="s">
        <v>141</v>
      </c>
      <c r="V1" s="92" t="s">
        <v>42</v>
      </c>
      <c r="W1" s="92" t="s">
        <v>140</v>
      </c>
      <c r="X1" s="92" t="s">
        <v>139</v>
      </c>
      <c r="Y1" s="92" t="s">
        <v>138</v>
      </c>
      <c r="Z1" s="92" t="s">
        <v>137</v>
      </c>
      <c r="AA1" s="92" t="s">
        <v>41</v>
      </c>
    </row>
    <row r="2" spans="1:27" x14ac:dyDescent="0.45">
      <c r="A2" s="88" t="s">
        <v>136</v>
      </c>
      <c r="B2" s="87">
        <v>400</v>
      </c>
      <c r="C2" s="90">
        <v>469</v>
      </c>
      <c r="D2" s="84"/>
      <c r="E2" s="84">
        <v>0</v>
      </c>
      <c r="F2" s="80">
        <f>(E2*1.015+5)*$B$16*$B$18*1.05*1.2*1.03*1.01</f>
        <v>18.687946700159099</v>
      </c>
      <c r="G2" s="84"/>
      <c r="H2" s="85">
        <v>110</v>
      </c>
      <c r="I2" s="80">
        <f>H2*$B$17*1.01*$B$18*1.05*1.2*1.03*1.01</f>
        <v>411.07695247959134</v>
      </c>
      <c r="J2" s="84"/>
      <c r="K2" s="84">
        <v>109</v>
      </c>
      <c r="L2" s="80">
        <f>K2*$B$20*$B$19*1.015*1.05*1.2*1.03*1.01</f>
        <v>409.31645644069175</v>
      </c>
      <c r="M2" s="84"/>
      <c r="N2" s="84">
        <v>0</v>
      </c>
      <c r="O2" s="80">
        <f>(N2*1.015+5)*$B$24*$B$18*1.2*1.05*1.04</f>
        <v>19.392243081119997</v>
      </c>
      <c r="P2" s="84"/>
      <c r="Q2" s="89">
        <v>102</v>
      </c>
      <c r="R2" s="80">
        <f>(Q2*1.015+5)*$B$23*$B$18*1.2*1.05*1.03*1.01</f>
        <v>420.51313442941927</v>
      </c>
      <c r="S2" s="84"/>
      <c r="T2" s="84">
        <v>0</v>
      </c>
      <c r="U2" s="80">
        <f>(T2*1.0125+6)*$B$16*$B$18*1.05*1.2*1.03*1.01</f>
        <v>22.42553604019092</v>
      </c>
      <c r="V2" s="78">
        <f t="shared" ref="V2:V8" si="0">(C2-F2)/C2</f>
        <v>0.96015363176938362</v>
      </c>
      <c r="W2" s="78">
        <f t="shared" ref="W2:W8" si="1">(C2-I2)/C2</f>
        <v>0.12350329961707603</v>
      </c>
      <c r="X2" s="78">
        <f t="shared" ref="X2:X8" si="2">(C2-L2)/C2</f>
        <v>0.12725702251451651</v>
      </c>
      <c r="Y2" s="78">
        <f t="shared" ref="Y2:Y8" si="3">(C2-O2)/C2</f>
        <v>0.95865193372895519</v>
      </c>
      <c r="Z2" s="78">
        <f t="shared" ref="Z2:Z8" si="4">(C2-R2)/C2</f>
        <v>0.10338350867927662</v>
      </c>
      <c r="AA2" s="78">
        <f t="shared" ref="AA2:AA8" si="5">(C2-U2)/C2</f>
        <v>0.9521843581232603</v>
      </c>
    </row>
    <row r="3" spans="1:27" x14ac:dyDescent="0.45">
      <c r="A3" s="88" t="s">
        <v>135</v>
      </c>
      <c r="B3" s="87">
        <v>200</v>
      </c>
      <c r="C3" s="90">
        <v>749</v>
      </c>
      <c r="D3" s="84"/>
      <c r="E3" s="84">
        <v>0</v>
      </c>
      <c r="F3" s="80">
        <v>549</v>
      </c>
      <c r="G3" s="84"/>
      <c r="H3" s="85">
        <v>167</v>
      </c>
      <c r="I3" s="80">
        <f>H3*$B$17*1.01*$B$18*1.05*1.2*1.03*1.01</f>
        <v>624.08955512810689</v>
      </c>
      <c r="J3" s="91"/>
      <c r="K3" s="91">
        <v>165</v>
      </c>
      <c r="L3" s="80">
        <f>K3*$B$20*$B$19*1.015*1.05*1.2*1.03*1.01</f>
        <v>619.60747993315715</v>
      </c>
      <c r="M3" s="84"/>
      <c r="N3" s="84">
        <v>0</v>
      </c>
      <c r="O3" s="80">
        <f>(N3*1.015+5)*$B$24*$B$18*1.2*1.05*1.04</f>
        <v>19.392243081119997</v>
      </c>
      <c r="P3" s="84"/>
      <c r="Q3" s="89">
        <v>158</v>
      </c>
      <c r="R3" s="80">
        <f>(Q3*1.015+5)*$B$23*$B$18*1.2*1.05*1.03*1.01</f>
        <v>640.74686299265693</v>
      </c>
      <c r="S3" s="84"/>
      <c r="T3" s="84">
        <v>0</v>
      </c>
      <c r="U3" s="80">
        <f>(T3*1.0125+6)*$B$16*$B$18*1.05*1.2*1.03*1.01</f>
        <v>22.42553604019092</v>
      </c>
      <c r="V3" s="78">
        <f t="shared" si="0"/>
        <v>0.26702269692923897</v>
      </c>
      <c r="W3" s="79">
        <f t="shared" si="1"/>
        <v>0.16676961932161963</v>
      </c>
      <c r="X3" s="78">
        <f t="shared" si="2"/>
        <v>0.17275369835359525</v>
      </c>
      <c r="Y3" s="78">
        <f t="shared" si="3"/>
        <v>0.97410915476485982</v>
      </c>
      <c r="Z3" s="78">
        <f t="shared" si="4"/>
        <v>0.14453022297375576</v>
      </c>
      <c r="AA3" s="78">
        <f t="shared" si="5"/>
        <v>0.97005936443232188</v>
      </c>
    </row>
    <row r="4" spans="1:27" x14ac:dyDescent="0.45">
      <c r="A4" s="88" t="s">
        <v>134</v>
      </c>
      <c r="B4" s="87">
        <v>20</v>
      </c>
      <c r="C4" s="90">
        <v>1099</v>
      </c>
      <c r="D4" s="84"/>
      <c r="E4" s="84">
        <v>0</v>
      </c>
      <c r="F4" s="80">
        <f>(E4*1.015+5)*$B$16*$B$18*1.05*1.2*1.03*1.01</f>
        <v>18.687946700159099</v>
      </c>
      <c r="G4" s="84"/>
      <c r="H4" s="84">
        <v>0</v>
      </c>
      <c r="I4" s="80">
        <f>H4*$B$17*1.01*$B$18*1.2*1.03*1.01</f>
        <v>0</v>
      </c>
      <c r="J4" s="84"/>
      <c r="K4" s="84">
        <v>261</v>
      </c>
      <c r="L4" s="80">
        <f>K4*$B$20*$B$19*1.015*1.2*1.03*1.01</f>
        <v>933.43464509410694</v>
      </c>
      <c r="M4" s="84"/>
      <c r="N4" s="84">
        <v>0</v>
      </c>
      <c r="O4" s="80">
        <f>(N4*1.015+5)*$B$24*$B$18*1.2*1.04</f>
        <v>18.468802934399996</v>
      </c>
      <c r="P4" s="84"/>
      <c r="Q4" s="89">
        <v>250</v>
      </c>
      <c r="R4" s="80">
        <f>(Q4*1.015+5)*$B$23*$B$18*1.2*1.03*1.01</f>
        <v>954.81849243888882</v>
      </c>
      <c r="S4" s="84"/>
      <c r="T4" s="84">
        <v>0</v>
      </c>
      <c r="U4" s="80">
        <f>(T4*1.0125+6)*$B$16*$B$18*1.2*1.03*1.01</f>
        <v>21.357653371610393</v>
      </c>
      <c r="V4" s="78">
        <f t="shared" si="0"/>
        <v>0.98299549890795357</v>
      </c>
      <c r="W4" s="78">
        <f t="shared" si="1"/>
        <v>1</v>
      </c>
      <c r="X4" s="79">
        <f t="shared" si="2"/>
        <v>0.15065091438206829</v>
      </c>
      <c r="Y4" s="78">
        <f t="shared" si="3"/>
        <v>0.98319490178853508</v>
      </c>
      <c r="Z4" s="78">
        <f t="shared" si="4"/>
        <v>0.13119336447780816</v>
      </c>
      <c r="AA4" s="78">
        <f t="shared" si="5"/>
        <v>0.98056628446623251</v>
      </c>
    </row>
    <row r="5" spans="1:27" x14ac:dyDescent="0.45">
      <c r="A5" s="88" t="s">
        <v>133</v>
      </c>
      <c r="B5" s="87">
        <v>40</v>
      </c>
      <c r="C5" s="90">
        <v>1349</v>
      </c>
      <c r="D5" s="84"/>
      <c r="E5" s="84">
        <v>0</v>
      </c>
      <c r="F5" s="80">
        <f>(E5*1.015+5)*$B$16*$B$18*1.05*1.2*1.03*1.01</f>
        <v>18.687946700159099</v>
      </c>
      <c r="G5" s="84"/>
      <c r="H5" s="84">
        <v>0</v>
      </c>
      <c r="I5" s="80">
        <f>H5*$B$17*1.01*$B$18*1.2*1.03*1.01</f>
        <v>0</v>
      </c>
      <c r="J5" s="84"/>
      <c r="K5" s="84">
        <v>0</v>
      </c>
      <c r="L5" s="80">
        <f>K5*$B$20*$B$19*1.015*1.2*1.03*1.01</f>
        <v>0</v>
      </c>
      <c r="M5" s="84"/>
      <c r="N5" s="84">
        <v>0</v>
      </c>
      <c r="O5" s="80">
        <f>(N5*1.015+5)*$B$24*$B$18*1.2*1.04</f>
        <v>18.468802934399996</v>
      </c>
      <c r="P5" s="84"/>
      <c r="Q5" s="89">
        <v>309</v>
      </c>
      <c r="R5" s="80">
        <f>(Q5*1.015+5)*$B$23*$B$18*1.2*1.03*1.01</f>
        <v>1175.8013153169672</v>
      </c>
      <c r="S5" s="84"/>
      <c r="T5" s="84">
        <v>0</v>
      </c>
      <c r="U5" s="80">
        <f>(T5*1.0125+6)*$B$16*$B$18*1.2*1.03*1.01</f>
        <v>21.357653371610393</v>
      </c>
      <c r="V5" s="78">
        <f t="shared" si="0"/>
        <v>0.98614681489980793</v>
      </c>
      <c r="W5" s="78">
        <f t="shared" si="1"/>
        <v>1</v>
      </c>
      <c r="X5" s="78">
        <f t="shared" si="2"/>
        <v>1</v>
      </c>
      <c r="Y5" s="78">
        <f t="shared" si="3"/>
        <v>0.98630926394781326</v>
      </c>
      <c r="Z5" s="79">
        <f t="shared" si="4"/>
        <v>0.1283904260066959</v>
      </c>
      <c r="AA5" s="78">
        <f t="shared" si="5"/>
        <v>0.98416778845692332</v>
      </c>
    </row>
    <row r="6" spans="1:27" x14ac:dyDescent="0.45">
      <c r="A6" s="88" t="s">
        <v>132</v>
      </c>
      <c r="B6" s="87">
        <v>50</v>
      </c>
      <c r="C6" s="90">
        <v>1349</v>
      </c>
      <c r="D6" s="84"/>
      <c r="E6" s="84">
        <v>0</v>
      </c>
      <c r="F6" s="80">
        <f>(E6*1.015+5)*$B$16*$B$18*1.2*1.03*1.01</f>
        <v>17.798044476342</v>
      </c>
      <c r="G6" s="84"/>
      <c r="H6" s="84">
        <v>0</v>
      </c>
      <c r="I6" s="80">
        <f>H6*$B$17*1.01*$B$18*1.2*1.03*1.01</f>
        <v>0</v>
      </c>
      <c r="J6" s="84"/>
      <c r="K6" s="84">
        <v>0</v>
      </c>
      <c r="L6" s="80">
        <f>K6*$B$20*$B$19*1.015*1.2*1.03*1.01</f>
        <v>0</v>
      </c>
      <c r="M6" s="84"/>
      <c r="N6" s="84">
        <v>0</v>
      </c>
      <c r="O6" s="80">
        <f>(N6*1.015+5)*$B$24*$B$18*1.2*1.04</f>
        <v>18.468802934399996</v>
      </c>
      <c r="P6" s="84"/>
      <c r="Q6" s="89">
        <v>309</v>
      </c>
      <c r="R6" s="80">
        <f>(Q6*1.015+5)*$B$23*$B$18*1.2*1.03*1.01</f>
        <v>1175.8013153169672</v>
      </c>
      <c r="S6" s="84"/>
      <c r="T6" s="84">
        <v>0</v>
      </c>
      <c r="U6" s="80">
        <f>(T6*1.0125+6)*$B$16*$B$18*1.2*1.03*1.01</f>
        <v>21.357653371610393</v>
      </c>
      <c r="V6" s="78">
        <f t="shared" si="0"/>
        <v>0.9868064903807694</v>
      </c>
      <c r="W6" s="78">
        <f t="shared" si="1"/>
        <v>1</v>
      </c>
      <c r="X6" s="78">
        <f t="shared" si="2"/>
        <v>1</v>
      </c>
      <c r="Y6" s="78">
        <f t="shared" si="3"/>
        <v>0.98630926394781326</v>
      </c>
      <c r="Z6" s="79">
        <f t="shared" si="4"/>
        <v>0.1283904260066959</v>
      </c>
      <c r="AA6" s="78">
        <f t="shared" si="5"/>
        <v>0.98416778845692332</v>
      </c>
    </row>
    <row r="7" spans="1:27" x14ac:dyDescent="0.45">
      <c r="A7" s="88" t="s">
        <v>131</v>
      </c>
      <c r="B7" s="87">
        <v>20</v>
      </c>
      <c r="C7" s="90">
        <v>1349</v>
      </c>
      <c r="D7" s="84"/>
      <c r="E7" s="84">
        <v>0</v>
      </c>
      <c r="F7" s="80">
        <f>(E7*1.015+5)*$B$16*$B$18*1.2*1.03*1.01</f>
        <v>17.798044476342</v>
      </c>
      <c r="G7" s="84"/>
      <c r="H7" s="84">
        <v>0</v>
      </c>
      <c r="I7" s="80">
        <f>H7*$B$17*1.01*$B$18*1.2*1.03*1.01</f>
        <v>0</v>
      </c>
      <c r="J7" s="84"/>
      <c r="K7" s="84">
        <v>0</v>
      </c>
      <c r="L7" s="80">
        <f>K7*$B$20*$B$19*1.015*1.2*1.03*1.01</f>
        <v>0</v>
      </c>
      <c r="M7" s="84"/>
      <c r="N7" s="84">
        <v>0</v>
      </c>
      <c r="O7" s="80">
        <f>(N7*1.015+5)*$B$24*$B$18*1.2*1.04</f>
        <v>18.468802934399996</v>
      </c>
      <c r="P7" s="84"/>
      <c r="Q7" s="89">
        <v>309</v>
      </c>
      <c r="R7" s="80">
        <f>(Q7*1.015+5)*$B$23*$B$18*1.2*1.03*1.01</f>
        <v>1175.8013153169672</v>
      </c>
      <c r="S7" s="84"/>
      <c r="T7" s="84">
        <v>0</v>
      </c>
      <c r="U7" s="80">
        <f>(T7*1.0125+6)*$B$16*$B$18*1.2*1.03*1.01</f>
        <v>21.357653371610393</v>
      </c>
      <c r="V7" s="78">
        <f t="shared" si="0"/>
        <v>0.9868064903807694</v>
      </c>
      <c r="W7" s="78">
        <f t="shared" si="1"/>
        <v>1</v>
      </c>
      <c r="X7" s="78">
        <f t="shared" si="2"/>
        <v>1</v>
      </c>
      <c r="Y7" s="78">
        <f t="shared" si="3"/>
        <v>0.98630926394781326</v>
      </c>
      <c r="Z7" s="79">
        <f t="shared" si="4"/>
        <v>0.1283904260066959</v>
      </c>
      <c r="AA7" s="78">
        <f t="shared" si="5"/>
        <v>0.98416778845692332</v>
      </c>
    </row>
    <row r="8" spans="1:27" x14ac:dyDescent="0.45">
      <c r="A8" s="88" t="s">
        <v>130</v>
      </c>
      <c r="B8" s="87">
        <v>100</v>
      </c>
      <c r="C8" s="86">
        <v>1449</v>
      </c>
      <c r="D8" s="85"/>
      <c r="E8" s="85">
        <v>0</v>
      </c>
      <c r="F8" s="80">
        <f>(E8*1.015+5)*$B$16*$B$18*1.2*1.03*1.01</f>
        <v>17.798044476342</v>
      </c>
      <c r="G8" s="85"/>
      <c r="H8" s="85">
        <v>352</v>
      </c>
      <c r="I8" s="80">
        <f>H8*$B$17*1.01*$B$18*1.2*1.03*1.01</f>
        <v>1252.8059504139928</v>
      </c>
      <c r="J8" s="85"/>
      <c r="K8" s="85">
        <v>0</v>
      </c>
      <c r="L8" s="80">
        <f>K8*$B$20*$B$19*1.015*1.2*1.03*1.01</f>
        <v>0</v>
      </c>
      <c r="M8" s="82"/>
      <c r="N8" s="84">
        <v>0</v>
      </c>
      <c r="O8" s="80">
        <f>(N8*1.015+5)*$B$24*$B$18*1.2*1.04</f>
        <v>18.468802934399996</v>
      </c>
      <c r="P8" s="84"/>
      <c r="Q8" s="83">
        <v>339</v>
      </c>
      <c r="R8" s="80">
        <f>(Q8*1.015+5)*$B$23*$B$18*1.2*1.03*1.01</f>
        <v>1288.1654625431095</v>
      </c>
      <c r="S8" s="82"/>
      <c r="T8" s="81">
        <v>0</v>
      </c>
      <c r="U8" s="80">
        <f>(T8*1.0125+6)*$B$16*$B$18*1.2*1.03*1.01</f>
        <v>21.357653371610393</v>
      </c>
      <c r="V8" s="78">
        <f t="shared" si="0"/>
        <v>0.98771701554427738</v>
      </c>
      <c r="W8" s="79">
        <f t="shared" si="1"/>
        <v>0.13539962014217197</v>
      </c>
      <c r="X8" s="78">
        <f t="shared" si="2"/>
        <v>1</v>
      </c>
      <c r="Y8" s="78">
        <f t="shared" si="3"/>
        <v>0.98725410425507254</v>
      </c>
      <c r="Z8" s="78">
        <f t="shared" si="4"/>
        <v>0.11099692026010388</v>
      </c>
      <c r="AA8" s="78">
        <f t="shared" si="5"/>
        <v>0.98526041865313285</v>
      </c>
    </row>
    <row r="10" spans="1:27" x14ac:dyDescent="0.3">
      <c r="F10" s="77"/>
    </row>
    <row r="15" spans="1:27" x14ac:dyDescent="0.3">
      <c r="A15" s="75" t="s">
        <v>129</v>
      </c>
    </row>
    <row r="16" spans="1:27" x14ac:dyDescent="0.3">
      <c r="A16" s="75" t="s">
        <v>128</v>
      </c>
      <c r="B16" s="76">
        <v>75.634699999999995</v>
      </c>
    </row>
    <row r="17" spans="1:2" x14ac:dyDescent="0.3">
      <c r="A17" s="75" t="s">
        <v>127</v>
      </c>
      <c r="B17" s="76">
        <v>74.875299999999996</v>
      </c>
    </row>
    <row r="18" spans="1:2" x14ac:dyDescent="0.3">
      <c r="A18" s="75" t="s">
        <v>126</v>
      </c>
      <c r="B18" s="76">
        <v>3.7699999999999997E-2</v>
      </c>
    </row>
    <row r="19" spans="1:2" x14ac:dyDescent="0.3">
      <c r="A19" s="75" t="s">
        <v>125</v>
      </c>
      <c r="B19" s="76">
        <v>0.41489999999999999</v>
      </c>
    </row>
    <row r="20" spans="1:2" x14ac:dyDescent="0.3">
      <c r="A20" s="75" t="s">
        <v>124</v>
      </c>
      <c r="B20" s="76">
        <f>6.7979+0.5%</f>
        <v>6.8029000000000002</v>
      </c>
    </row>
    <row r="21" spans="1:2" x14ac:dyDescent="0.3">
      <c r="A21" s="75" t="s">
        <v>123</v>
      </c>
      <c r="B21" s="76">
        <v>2.8228</v>
      </c>
    </row>
    <row r="22" spans="1:2" x14ac:dyDescent="0.3">
      <c r="A22" s="75" t="s">
        <v>122</v>
      </c>
      <c r="B22" s="76">
        <v>2.8793000000000002</v>
      </c>
    </row>
    <row r="23" spans="1:2" x14ac:dyDescent="0.3">
      <c r="A23" s="75" t="s">
        <v>121</v>
      </c>
      <c r="B23" s="76">
        <v>78.407799999999995</v>
      </c>
    </row>
    <row r="24" spans="1:2" x14ac:dyDescent="0.3">
      <c r="A24" s="75" t="s">
        <v>120</v>
      </c>
      <c r="B24" s="76">
        <f>B23+0.1</f>
        <v>78.507799999999989</v>
      </c>
    </row>
  </sheetData>
  <conditionalFormatting sqref="A2:A8">
    <cfRule type="containsText" dxfId="2" priority="3" operator="containsText" text="N/A">
      <formula>NOT(ISERROR(SEARCH("N/A",A2)))</formula>
    </cfRule>
  </conditionalFormatting>
  <conditionalFormatting sqref="B2:B8">
    <cfRule type="containsText" dxfId="1" priority="2" operator="containsText" text="N/A">
      <formula>NOT(ISERROR(SEARCH("N/A",B2)))</formula>
    </cfRule>
  </conditionalFormatting>
  <conditionalFormatting sqref="Q2:Q8">
    <cfRule type="containsText" dxfId="0" priority="1" operator="containsText" text="N/A">
      <formula>NOT(ISERROR(SEARCH("N/A",Q2)))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сравнение предложений Смартфоны</vt:lpstr>
      <vt:lpstr>сравнеиие цен АКС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Хацкевич Юлия</dc:creator>
  <cp:keywords/>
  <dc:description/>
  <cp:lastModifiedBy>Морозов Дмитрий</cp:lastModifiedBy>
  <cp:revision>1</cp:revision>
  <cp:lastPrinted>2026-05-07T14:32:44Z</cp:lastPrinted>
  <dcterms:created xsi:type="dcterms:W3CDTF">2026-05-07T14:32:44Z</dcterms:created>
  <dcterms:modified xsi:type="dcterms:W3CDTF">2026-08-20T05:53:36Z</dcterms:modified>
</cp:coreProperties>
</file>